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les_Detail" sheetId="2" state="visible" r:id="rId4"/>
    <sheet name="Inventory" sheetId="3" state="visible" r:id="rId5"/>
    <sheet name="Sales_By_Product" sheetId="4" state="visible" r:id="rId6"/>
    <sheet name="Monthly_Sa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<sst xmlns="http://schemas.openxmlformats.org/spreadsheetml/2006/main" count="866" uniqueCount="158">
  <si>
    <t xml:space="preserve">Mini ERP: Sales &amp; Inventory Summary</t>
  </si>
  <si>
    <t xml:space="preserve">Total Revenue</t>
  </si>
  <si>
    <t xml:space="preserve">Units Sold</t>
  </si>
  <si>
    <t xml:space="preserve">Order Lines</t>
  </si>
  <si>
    <t xml:space="preserve">Inventory Value (at cost)</t>
  </si>
  <si>
    <t xml:space="preserve">Products to Reorder</t>
  </si>
  <si>
    <t xml:space="preserve">Top Product by Revenue</t>
  </si>
  <si>
    <t xml:space="preserve">Best Month by Revenue</t>
  </si>
  <si>
    <t xml:space="preserve">Note: all figures are formulas over the Sales_Detail and Inventory sheets (data exported from MySQL). Amounts in INR.</t>
  </si>
  <si>
    <t xml:space="preserve">Order ID</t>
  </si>
  <si>
    <t xml:space="preserve">Order Date</t>
  </si>
  <si>
    <t xml:space="preserve">Month</t>
  </si>
  <si>
    <t xml:space="preserve">Customer</t>
  </si>
  <si>
    <t xml:space="preserve">Product</t>
  </si>
  <si>
    <t xml:space="preserve">Category</t>
  </si>
  <si>
    <t xml:space="preserve">Qty</t>
  </si>
  <si>
    <t xml:space="preserve">Unit Price</t>
  </si>
  <si>
    <t xml:space="preserve">Line Total</t>
  </si>
  <si>
    <t xml:space="preserve">2026-01-03</t>
  </si>
  <si>
    <t xml:space="preserve">2026-01</t>
  </si>
  <si>
    <t xml:space="preserve">Jupiter Textiles</t>
  </si>
  <si>
    <t xml:space="preserve">Webcam HD</t>
  </si>
  <si>
    <t xml:space="preserve">Electronics</t>
  </si>
  <si>
    <t xml:space="preserve">Laptop Stand</t>
  </si>
  <si>
    <t xml:space="preserve">Metro Auto Parts</t>
  </si>
  <si>
    <t xml:space="preserve">2026-01-10</t>
  </si>
  <si>
    <t xml:space="preserve">FreshMart Retail</t>
  </si>
  <si>
    <t xml:space="preserve">Wireless Mouse</t>
  </si>
  <si>
    <t xml:space="preserve">2026-01-14</t>
  </si>
  <si>
    <t xml:space="preserve">InnoSoft Systems</t>
  </si>
  <si>
    <t xml:space="preserve">USB-C Hub</t>
  </si>
  <si>
    <t xml:space="preserve">Filing Cabinet</t>
  </si>
  <si>
    <t xml:space="preserve">Furniture</t>
  </si>
  <si>
    <t xml:space="preserve">Inkjet Cartridge</t>
  </si>
  <si>
    <t xml:space="preserve">Printing</t>
  </si>
  <si>
    <t xml:space="preserve">2026-01-15</t>
  </si>
  <si>
    <t xml:space="preserve">CityCare Clinics</t>
  </si>
  <si>
    <t xml:space="preserve">Printer Toner</t>
  </si>
  <si>
    <t xml:space="preserve">Ball Pen Box (50)</t>
  </si>
  <si>
    <t xml:space="preserve">Stationery</t>
  </si>
  <si>
    <t xml:space="preserve">Surge Protector</t>
  </si>
  <si>
    <t xml:space="preserve">Horizon Realty</t>
  </si>
  <si>
    <t xml:space="preserve">Whiteboard Marker Set</t>
  </si>
  <si>
    <t xml:space="preserve">2026-01-22</t>
  </si>
  <si>
    <t xml:space="preserve">Monitor Arm</t>
  </si>
  <si>
    <t xml:space="preserve">Office Desk</t>
  </si>
  <si>
    <t xml:space="preserve">2026-01-27</t>
  </si>
  <si>
    <t xml:space="preserve">Label Printer Rolls</t>
  </si>
  <si>
    <t xml:space="preserve">27-inch Monitor</t>
  </si>
  <si>
    <t xml:space="preserve">2026-02-01</t>
  </si>
  <si>
    <t xml:space="preserve">2026-02</t>
  </si>
  <si>
    <t xml:space="preserve">GreenLeaf Pharma</t>
  </si>
  <si>
    <t xml:space="preserve">2026-02-03</t>
  </si>
  <si>
    <t xml:space="preserve">External SSD 1TB</t>
  </si>
  <si>
    <t xml:space="preserve">2026-02-05</t>
  </si>
  <si>
    <t xml:space="preserve">2026-02-06</t>
  </si>
  <si>
    <t xml:space="preserve">Apex Logistics</t>
  </si>
  <si>
    <t xml:space="preserve">Stapler</t>
  </si>
  <si>
    <t xml:space="preserve">Mechanical Keyboard</t>
  </si>
  <si>
    <t xml:space="preserve">2026-02-07</t>
  </si>
  <si>
    <t xml:space="preserve">A4 Paper Ream</t>
  </si>
  <si>
    <t xml:space="preserve">2026-02-13</t>
  </si>
  <si>
    <t xml:space="preserve">Notebook Pack (5)</t>
  </si>
  <si>
    <t xml:space="preserve">2026-02-15</t>
  </si>
  <si>
    <t xml:space="preserve">Kiran Hardware</t>
  </si>
  <si>
    <t xml:space="preserve">2026-02-22</t>
  </si>
  <si>
    <t xml:space="preserve">Ergonomic Chair</t>
  </si>
  <si>
    <t xml:space="preserve">2026-02-23</t>
  </si>
  <si>
    <t xml:space="preserve">2026-02-27</t>
  </si>
  <si>
    <t xml:space="preserve">Bluewave Traders</t>
  </si>
  <si>
    <t xml:space="preserve">2026-03-03</t>
  </si>
  <si>
    <t xml:space="preserve">2026-03</t>
  </si>
  <si>
    <t xml:space="preserve">Lotus Hospitality</t>
  </si>
  <si>
    <t xml:space="preserve">2026-03-04</t>
  </si>
  <si>
    <t xml:space="preserve">EduSmart Academy</t>
  </si>
  <si>
    <t xml:space="preserve">2026-03-09</t>
  </si>
  <si>
    <t xml:space="preserve">2026-03-15</t>
  </si>
  <si>
    <t xml:space="preserve">2026-03-19</t>
  </si>
  <si>
    <t xml:space="preserve">2026-03-24</t>
  </si>
  <si>
    <t xml:space="preserve">2026-04-03</t>
  </si>
  <si>
    <t xml:space="preserve">2026-04</t>
  </si>
  <si>
    <t xml:space="preserve">2026-04-04</t>
  </si>
  <si>
    <t xml:space="preserve">2026-04-10</t>
  </si>
  <si>
    <t xml:space="preserve">2026-04-13</t>
  </si>
  <si>
    <t xml:space="preserve">2026-04-16</t>
  </si>
  <si>
    <t xml:space="preserve">2026-04-19</t>
  </si>
  <si>
    <t xml:space="preserve">2026-04-21</t>
  </si>
  <si>
    <t xml:space="preserve">2026-04-23</t>
  </si>
  <si>
    <t xml:space="preserve">2026-04-25</t>
  </si>
  <si>
    <t xml:space="preserve">2026-04-28</t>
  </si>
  <si>
    <t xml:space="preserve">2026-05-03</t>
  </si>
  <si>
    <t xml:space="preserve">2026-05</t>
  </si>
  <si>
    <t xml:space="preserve">2026-05-04</t>
  </si>
  <si>
    <t xml:space="preserve">2026-05-05</t>
  </si>
  <si>
    <t xml:space="preserve">2026-05-08</t>
  </si>
  <si>
    <t xml:space="preserve">2026-05-15</t>
  </si>
  <si>
    <t xml:space="preserve">2026-05-16</t>
  </si>
  <si>
    <t xml:space="preserve">2026-05-25</t>
  </si>
  <si>
    <t xml:space="preserve">2026-05-28</t>
  </si>
  <si>
    <t xml:space="preserve">Dhruv Consulting</t>
  </si>
  <si>
    <t xml:space="preserve">2026-06-06</t>
  </si>
  <si>
    <t xml:space="preserve">2026-06</t>
  </si>
  <si>
    <t xml:space="preserve">2026-06-10</t>
  </si>
  <si>
    <t xml:space="preserve">2026-07-07</t>
  </si>
  <si>
    <t xml:space="preserve">2026-07</t>
  </si>
  <si>
    <t xml:space="preserve">2026-07-09</t>
  </si>
  <si>
    <t xml:space="preserve">2026-07-10</t>
  </si>
  <si>
    <t xml:space="preserve">2026-07-14</t>
  </si>
  <si>
    <t xml:space="preserve">2026-07-23</t>
  </si>
  <si>
    <t xml:space="preserve">2026-08-15</t>
  </si>
  <si>
    <t xml:space="preserve">2026-08</t>
  </si>
  <si>
    <t xml:space="preserve">2026-08-18</t>
  </si>
  <si>
    <t xml:space="preserve">2026-08-25</t>
  </si>
  <si>
    <t xml:space="preserve">2026-08-26</t>
  </si>
  <si>
    <t xml:space="preserve">2026-08-29</t>
  </si>
  <si>
    <t xml:space="preserve">2026-08-31</t>
  </si>
  <si>
    <t xml:space="preserve">2026-09-03</t>
  </si>
  <si>
    <t xml:space="preserve">2026-09</t>
  </si>
  <si>
    <t xml:space="preserve">2026-09-10</t>
  </si>
  <si>
    <t xml:space="preserve">2026-09-11</t>
  </si>
  <si>
    <t xml:space="preserve">2026-09-16</t>
  </si>
  <si>
    <t xml:space="preserve">2026-09-21</t>
  </si>
  <si>
    <t xml:space="preserve">2026-09-25</t>
  </si>
  <si>
    <t xml:space="preserve">Product ID</t>
  </si>
  <si>
    <t xml:space="preserve">SKU</t>
  </si>
  <si>
    <t xml:space="preserve">Supplier</t>
  </si>
  <si>
    <t xml:space="preserve">Stock Qty</t>
  </si>
  <si>
    <t xml:space="preserve">Reorder Level</t>
  </si>
  <si>
    <t xml:space="preserve">Unit Cost</t>
  </si>
  <si>
    <t xml:space="preserve">Stock Value</t>
  </si>
  <si>
    <t xml:space="preserve">Status</t>
  </si>
  <si>
    <t xml:space="preserve">SKU-001</t>
  </si>
  <si>
    <t xml:space="preserve">Nova Peripherals</t>
  </si>
  <si>
    <t xml:space="preserve">SKU-002</t>
  </si>
  <si>
    <t xml:space="preserve">SKU-003</t>
  </si>
  <si>
    <t xml:space="preserve">Delta Electronics</t>
  </si>
  <si>
    <t xml:space="preserve">SKU-004</t>
  </si>
  <si>
    <t xml:space="preserve">SKU-005</t>
  </si>
  <si>
    <t xml:space="preserve">SKU-006</t>
  </si>
  <si>
    <t xml:space="preserve">SKU-007</t>
  </si>
  <si>
    <t xml:space="preserve">Urban Furnishings</t>
  </si>
  <si>
    <t xml:space="preserve">SKU-008</t>
  </si>
  <si>
    <t xml:space="preserve">SKU-009</t>
  </si>
  <si>
    <t xml:space="preserve">SKU-010</t>
  </si>
  <si>
    <t xml:space="preserve">SKU-011</t>
  </si>
  <si>
    <t xml:space="preserve">Prime Office Supplies</t>
  </si>
  <si>
    <t xml:space="preserve">SKU-012</t>
  </si>
  <si>
    <t xml:space="preserve">Paper &amp; Pen Co.</t>
  </si>
  <si>
    <t xml:space="preserve">SKU-013</t>
  </si>
  <si>
    <t xml:space="preserve">SKU-014</t>
  </si>
  <si>
    <t xml:space="preserve">SKU-015</t>
  </si>
  <si>
    <t xml:space="preserve">SKU-016</t>
  </si>
  <si>
    <t xml:space="preserve">Bright Print Solutions</t>
  </si>
  <si>
    <t xml:space="preserve">SKU-017</t>
  </si>
  <si>
    <t xml:space="preserve">SKU-018</t>
  </si>
  <si>
    <t xml:space="preserve">SKU-019</t>
  </si>
  <si>
    <t xml:space="preserve">SKU-020</t>
  </si>
  <si>
    <t xml:space="preserve">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</si>
</sst>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@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Sales_By_Product!C1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Sales_By_Product!$A$2:$A$11</c:f>
              <c:strCache>
                <c:ptCount val="10"/>
                <c:pt idx="0">
                  <c:v>27-inch Monitor</c:v>
                </c:pt>
                <c:pt idx="1">
                  <c:v>External SSD 1TB</c:v>
                </c:pt>
                <c:pt idx="2">
                  <c:v>Office Desk</c:v>
                </c:pt>
                <c:pt idx="3">
                  <c:v>Mechanical Keyboard</c:v>
                </c:pt>
                <c:pt idx="4">
                  <c:v>Printer Toner</c:v>
                </c:pt>
                <c:pt idx="5">
                  <c:v>Webcam HD</c:v>
                </c:pt>
                <c:pt idx="6">
                  <c:v>Ergonomic Chair</c:v>
                </c:pt>
                <c:pt idx="7">
                  <c:v>Laptop Stand</c:v>
                </c:pt>
                <c:pt idx="8">
                  <c:v>Filing Cabinet</c:v>
                </c:pt>
                <c:pt idx="9">
                  <c:v>Inkjet Cartridge</c:v>
                </c:pt>
              </c:strCache>
            </c:strRef>
          </c:cat>
          <c:val>
            <c:numRef>
              <c:f>Sales_By_Product!$C$2:$C$11</c:f>
              <c:numCache>
                <c:formatCode>#,##0</c:formatCode>
                <c:ptCount val="10"/>
                <c:pt idx="0">
                  <c:v>895936</c:v>
                </c:pt>
                <c:pt idx="1">
                  <c:v>412445</c:v>
                </c:pt>
                <c:pt idx="2">
                  <c:v>218477</c:v>
                </c:pt>
                <c:pt idx="3">
                  <c:v>159543</c:v>
                </c:pt>
                <c:pt idx="4">
                  <c:v>143459</c:v>
                </c:pt>
                <c:pt idx="5">
                  <c:v>108243</c:v>
                </c:pt>
                <c:pt idx="6">
                  <c:v>79990</c:v>
                </c:pt>
                <c:pt idx="7">
                  <c:v>74925</c:v>
                </c:pt>
                <c:pt idx="8">
                  <c:v>71487</c:v>
                </c:pt>
                <c:pt idx="9">
                  <c:v>71435</c:v>
                </c:pt>
              </c:numCache>
            </c:numRef>
          </c:val>
        </c:ser>
        <c:gapWidth val="150"/>
        <c:overlap val="0"/>
        <c:axId val="7701770"/>
        <c:axId val="47575519"/>
      </c:barChart>
      <c:catAx>
        <c:axId val="77017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75519"/>
        <c:crosses val="autoZero"/>
        <c:auto val="1"/>
        <c:lblAlgn val="ctr"/>
        <c:lblOffset val="100"/>
        <c:noMultiLvlLbl val="0"/>
      </c:catAx>
      <c:valAx>
        <c:axId val="47575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17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Monthly_Sales!B1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Monthly_Sales!$A$2:$A$10</c:f>
              <c:strCache>
                <c:ptCount val="9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</c:strCache>
            </c:strRef>
          </c:cat>
          <c:val>
            <c:numRef>
              <c:f>Monthly_Sales!$B$2:$B$10</c:f>
              <c:numCache>
                <c:formatCode>#,##0</c:formatCode>
                <c:ptCount val="9"/>
                <c:pt idx="0">
                  <c:v>297484</c:v>
                </c:pt>
                <c:pt idx="1">
                  <c:v>352750</c:v>
                </c:pt>
                <c:pt idx="2">
                  <c:v>289846</c:v>
                </c:pt>
                <c:pt idx="3">
                  <c:v>211728</c:v>
                </c:pt>
                <c:pt idx="4">
                  <c:v>511344</c:v>
                </c:pt>
                <c:pt idx="5">
                  <c:v>15584</c:v>
                </c:pt>
                <c:pt idx="6">
                  <c:v>133439</c:v>
                </c:pt>
                <c:pt idx="7">
                  <c:v>147173</c:v>
                </c:pt>
                <c:pt idx="8">
                  <c:v>482714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949165"/>
        <c:axId val="71029430"/>
      </c:lineChart>
      <c:catAx>
        <c:axId val="70949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29430"/>
        <c:crosses val="autoZero"/>
        <c:auto val="1"/>
        <c:lblAlgn val="ctr"/>
        <c:lblOffset val="100"/>
        <c:noMultiLvlLbl val="0"/>
      </c:catAx>
      <c:valAx>
        <c:axId val="7102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91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364320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44175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44404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SUM(Sales_Detail!I2:I150)</f>
        <v>2442062</v>
      </c>
    </row>
    <row r="4" customFormat="false" ht="15" hidden="false" customHeight="false" outlineLevel="0" collapsed="false">
      <c r="A4" s="2" t="s">
        <v>2</v>
      </c>
      <c r="B4" s="3" t="n">
        <f aca="false">SUM(Sales_Detail!G2:G150)</f>
        <v>856</v>
      </c>
    </row>
    <row r="5" customFormat="false" ht="15" hidden="false" customHeight="false" outlineLevel="0" collapsed="false">
      <c r="A5" s="2" t="s">
        <v>3</v>
      </c>
      <c r="B5" s="3" t="n">
        <f aca="false">COUNT(Sales_Detail!A2:A150)</f>
        <v>149</v>
      </c>
    </row>
    <row r="6" customFormat="false" ht="15" hidden="false" customHeight="false" outlineLevel="0" collapsed="false">
      <c r="A6" s="2" t="s">
        <v>4</v>
      </c>
      <c r="B6" s="3" t="n">
        <f aca="false">SUM(Inventory!H2:H21)</f>
        <v>942940</v>
      </c>
    </row>
    <row r="7" customFormat="false" ht="15" hidden="false" customHeight="false" outlineLevel="0" collapsed="false">
      <c r="A7" s="2" t="s">
        <v>5</v>
      </c>
      <c r="B7" s="4" t="n">
        <f aca="false">COUNTIF(Inventory!I2:I21,"REORDER")</f>
        <v>4</v>
      </c>
    </row>
    <row r="8" customFormat="false" ht="15" hidden="false" customHeight="false" outlineLevel="0" collapsed="false">
      <c r="A8" s="2" t="s">
        <v>6</v>
      </c>
      <c r="B8" s="5" t="str">
        <f aca="false">INDEX(Sales_By_Product!A2:A21,MATCH(MAX(Sales_By_Product!C2:C21),Sales_By_Product!C2:C21,0))</f>
        <v>27-inch Monitor</v>
      </c>
    </row>
    <row r="9" customFormat="false" ht="15" hidden="false" customHeight="false" outlineLevel="0" collapsed="false">
      <c r="A9" s="2" t="s">
        <v>7</v>
      </c>
      <c r="B9" s="5" t="str">
        <f aca="false">INDEX(Monthly_Sales!A2:A10,MATCH(MAX(Monthly_Sales!B2:B10),Monthly_Sales!B2:B10,0))</f>
        <v>2026-05</v>
      </c>
    </row>
    <row r="11" customFormat="false" ht="15" hidden="false" customHeight="false" outlineLevel="0" collapsed="false">
      <c r="A11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customFormat="false" ht="15" hidden="false" customHeight="false" outlineLevel="0" collapsed="false">
      <c r="A2" s="0" t="n">
        <v>37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n">
        <v>8</v>
      </c>
      <c r="H2" s="8" t="n">
        <v>1899</v>
      </c>
      <c r="I2" s="8" t="n">
        <f aca="false">G2*H2</f>
        <v>15192</v>
      </c>
    </row>
    <row r="3" customFormat="false" ht="15" hidden="false" customHeight="false" outlineLevel="0" collapsed="false">
      <c r="A3" s="0" t="n">
        <v>37</v>
      </c>
      <c r="B3" s="0" t="s">
        <v>18</v>
      </c>
      <c r="C3" s="0" t="s">
        <v>19</v>
      </c>
      <c r="D3" s="0" t="s">
        <v>20</v>
      </c>
      <c r="E3" s="0" t="s">
        <v>23</v>
      </c>
      <c r="F3" s="0" t="s">
        <v>22</v>
      </c>
      <c r="G3" s="0" t="n">
        <v>10</v>
      </c>
      <c r="H3" s="8" t="n">
        <v>999</v>
      </c>
      <c r="I3" s="8" t="n">
        <f aca="false">G3*H3</f>
        <v>9990</v>
      </c>
    </row>
    <row r="4" customFormat="false" ht="15" hidden="false" customHeight="false" outlineLevel="0" collapsed="false">
      <c r="A4" s="0" t="n">
        <v>63</v>
      </c>
      <c r="B4" s="0" t="s">
        <v>18</v>
      </c>
      <c r="C4" s="0" t="s">
        <v>19</v>
      </c>
      <c r="D4" s="0" t="s">
        <v>24</v>
      </c>
      <c r="E4" s="0" t="s">
        <v>23</v>
      </c>
      <c r="F4" s="0" t="s">
        <v>22</v>
      </c>
      <c r="G4" s="0" t="n">
        <v>7</v>
      </c>
      <c r="H4" s="8" t="n">
        <v>999</v>
      </c>
      <c r="I4" s="8" t="n">
        <f aca="false">G4*H4</f>
        <v>6993</v>
      </c>
    </row>
    <row r="5" customFormat="false" ht="15" hidden="false" customHeight="false" outlineLevel="0" collapsed="false">
      <c r="A5" s="0" t="n">
        <v>56</v>
      </c>
      <c r="B5" s="0" t="s">
        <v>25</v>
      </c>
      <c r="C5" s="0" t="s">
        <v>19</v>
      </c>
      <c r="D5" s="0" t="s">
        <v>26</v>
      </c>
      <c r="E5" s="0" t="s">
        <v>27</v>
      </c>
      <c r="F5" s="0" t="s">
        <v>22</v>
      </c>
      <c r="G5" s="0" t="n">
        <v>1</v>
      </c>
      <c r="H5" s="8" t="n">
        <v>599</v>
      </c>
      <c r="I5" s="8" t="n">
        <f aca="false">G5*H5</f>
        <v>599</v>
      </c>
    </row>
    <row r="6" customFormat="false" ht="15" hidden="false" customHeight="false" outlineLevel="0" collapsed="false">
      <c r="A6" s="0" t="n">
        <v>24</v>
      </c>
      <c r="B6" s="0" t="s">
        <v>28</v>
      </c>
      <c r="C6" s="0" t="s">
        <v>19</v>
      </c>
      <c r="D6" s="0" t="s">
        <v>29</v>
      </c>
      <c r="E6" s="0" t="s">
        <v>30</v>
      </c>
      <c r="F6" s="0" t="s">
        <v>22</v>
      </c>
      <c r="G6" s="0" t="n">
        <v>6</v>
      </c>
      <c r="H6" s="8" t="n">
        <v>1499</v>
      </c>
      <c r="I6" s="8" t="n">
        <f aca="false">G6*H6</f>
        <v>8994</v>
      </c>
    </row>
    <row r="7" customFormat="false" ht="15" hidden="false" customHeight="false" outlineLevel="0" collapsed="false">
      <c r="A7" s="0" t="n">
        <v>24</v>
      </c>
      <c r="B7" s="0" t="s">
        <v>28</v>
      </c>
      <c r="C7" s="0" t="s">
        <v>19</v>
      </c>
      <c r="D7" s="0" t="s">
        <v>29</v>
      </c>
      <c r="E7" s="0" t="s">
        <v>31</v>
      </c>
      <c r="F7" s="0" t="s">
        <v>32</v>
      </c>
      <c r="G7" s="0" t="n">
        <v>2</v>
      </c>
      <c r="H7" s="8" t="n">
        <v>5499</v>
      </c>
      <c r="I7" s="8" t="n">
        <f aca="false">G7*H7</f>
        <v>10998</v>
      </c>
    </row>
    <row r="8" customFormat="false" ht="15" hidden="false" customHeight="false" outlineLevel="0" collapsed="false">
      <c r="A8" s="0" t="n">
        <v>24</v>
      </c>
      <c r="B8" s="0" t="s">
        <v>28</v>
      </c>
      <c r="C8" s="0" t="s">
        <v>19</v>
      </c>
      <c r="D8" s="0" t="s">
        <v>29</v>
      </c>
      <c r="E8" s="0" t="s">
        <v>33</v>
      </c>
      <c r="F8" s="0" t="s">
        <v>34</v>
      </c>
      <c r="G8" s="0" t="n">
        <v>6</v>
      </c>
      <c r="H8" s="8" t="n">
        <v>1099</v>
      </c>
      <c r="I8" s="8" t="n">
        <f aca="false">G8*H8</f>
        <v>6594</v>
      </c>
    </row>
    <row r="9" customFormat="false" ht="15" hidden="false" customHeight="false" outlineLevel="0" collapsed="false">
      <c r="A9" s="0" t="n">
        <v>32</v>
      </c>
      <c r="B9" s="0" t="s">
        <v>35</v>
      </c>
      <c r="C9" s="0" t="s">
        <v>19</v>
      </c>
      <c r="D9" s="0" t="s">
        <v>36</v>
      </c>
      <c r="E9" s="0" t="s">
        <v>23</v>
      </c>
      <c r="F9" s="0" t="s">
        <v>22</v>
      </c>
      <c r="G9" s="0" t="n">
        <v>9</v>
      </c>
      <c r="H9" s="8" t="n">
        <v>999</v>
      </c>
      <c r="I9" s="8" t="n">
        <f aca="false">G9*H9</f>
        <v>8991</v>
      </c>
    </row>
    <row r="10" customFormat="false" ht="15" hidden="false" customHeight="false" outlineLevel="0" collapsed="false">
      <c r="A10" s="0" t="n">
        <v>32</v>
      </c>
      <c r="B10" s="0" t="s">
        <v>35</v>
      </c>
      <c r="C10" s="0" t="s">
        <v>19</v>
      </c>
      <c r="D10" s="0" t="s">
        <v>36</v>
      </c>
      <c r="E10" s="0" t="s">
        <v>37</v>
      </c>
      <c r="F10" s="0" t="s">
        <v>34</v>
      </c>
      <c r="G10" s="0" t="n">
        <v>9</v>
      </c>
      <c r="H10" s="8" t="n">
        <v>3499</v>
      </c>
      <c r="I10" s="8" t="n">
        <f aca="false">G10*H10</f>
        <v>31491</v>
      </c>
    </row>
    <row r="11" customFormat="false" ht="15" hidden="false" customHeight="false" outlineLevel="0" collapsed="false">
      <c r="A11" s="0" t="n">
        <v>32</v>
      </c>
      <c r="B11" s="0" t="s">
        <v>35</v>
      </c>
      <c r="C11" s="0" t="s">
        <v>19</v>
      </c>
      <c r="D11" s="0" t="s">
        <v>36</v>
      </c>
      <c r="E11" s="0" t="s">
        <v>38</v>
      </c>
      <c r="F11" s="0" t="s">
        <v>39</v>
      </c>
      <c r="G11" s="0" t="n">
        <v>3</v>
      </c>
      <c r="H11" s="8" t="n">
        <v>249</v>
      </c>
      <c r="I11" s="8" t="n">
        <f aca="false">G11*H11</f>
        <v>747</v>
      </c>
    </row>
    <row r="12" customFormat="false" ht="15" hidden="false" customHeight="false" outlineLevel="0" collapsed="false">
      <c r="A12" s="0" t="n">
        <v>32</v>
      </c>
      <c r="B12" s="0" t="s">
        <v>35</v>
      </c>
      <c r="C12" s="0" t="s">
        <v>19</v>
      </c>
      <c r="D12" s="0" t="s">
        <v>36</v>
      </c>
      <c r="E12" s="0" t="s">
        <v>40</v>
      </c>
      <c r="F12" s="0" t="s">
        <v>22</v>
      </c>
      <c r="G12" s="0" t="n">
        <v>1</v>
      </c>
      <c r="H12" s="8" t="n">
        <v>749</v>
      </c>
      <c r="I12" s="8" t="n">
        <f aca="false">G12*H12</f>
        <v>749</v>
      </c>
    </row>
    <row r="13" customFormat="false" ht="15" hidden="false" customHeight="false" outlineLevel="0" collapsed="false">
      <c r="A13" s="0" t="n">
        <v>40</v>
      </c>
      <c r="B13" s="0" t="s">
        <v>35</v>
      </c>
      <c r="C13" s="0" t="s">
        <v>19</v>
      </c>
      <c r="D13" s="0" t="s">
        <v>41</v>
      </c>
      <c r="E13" s="0" t="s">
        <v>42</v>
      </c>
      <c r="F13" s="0" t="s">
        <v>39</v>
      </c>
      <c r="G13" s="0" t="n">
        <v>6</v>
      </c>
      <c r="H13" s="8" t="n">
        <v>229</v>
      </c>
      <c r="I13" s="8" t="n">
        <f aca="false">G13*H13</f>
        <v>1374</v>
      </c>
    </row>
    <row r="14" customFormat="false" ht="15" hidden="false" customHeight="false" outlineLevel="0" collapsed="false">
      <c r="A14" s="0" t="n">
        <v>64</v>
      </c>
      <c r="B14" s="0" t="s">
        <v>43</v>
      </c>
      <c r="C14" s="0" t="s">
        <v>19</v>
      </c>
      <c r="D14" s="0" t="s">
        <v>20</v>
      </c>
      <c r="E14" s="0" t="s">
        <v>44</v>
      </c>
      <c r="F14" s="0" t="s">
        <v>32</v>
      </c>
      <c r="G14" s="0" t="n">
        <v>2</v>
      </c>
      <c r="H14" s="8" t="n">
        <v>2399</v>
      </c>
      <c r="I14" s="8" t="n">
        <f aca="false">G14*H14</f>
        <v>4798</v>
      </c>
    </row>
    <row r="15" customFormat="false" ht="15" hidden="false" customHeight="false" outlineLevel="0" collapsed="false">
      <c r="A15" s="0" t="n">
        <v>64</v>
      </c>
      <c r="B15" s="0" t="s">
        <v>43</v>
      </c>
      <c r="C15" s="0" t="s">
        <v>19</v>
      </c>
      <c r="D15" s="0" t="s">
        <v>20</v>
      </c>
      <c r="E15" s="0" t="s">
        <v>45</v>
      </c>
      <c r="F15" s="0" t="s">
        <v>32</v>
      </c>
      <c r="G15" s="0" t="n">
        <v>4</v>
      </c>
      <c r="H15" s="8" t="n">
        <v>9499</v>
      </c>
      <c r="I15" s="8" t="n">
        <f aca="false">G15*H15</f>
        <v>37996</v>
      </c>
    </row>
    <row r="16" customFormat="false" ht="15" hidden="false" customHeight="false" outlineLevel="0" collapsed="false">
      <c r="A16" s="0" t="n">
        <v>64</v>
      </c>
      <c r="B16" s="0" t="s">
        <v>43</v>
      </c>
      <c r="C16" s="0" t="s">
        <v>19</v>
      </c>
      <c r="D16" s="0" t="s">
        <v>20</v>
      </c>
      <c r="E16" s="0" t="s">
        <v>30</v>
      </c>
      <c r="F16" s="0" t="s">
        <v>22</v>
      </c>
      <c r="G16" s="0" t="n">
        <v>6</v>
      </c>
      <c r="H16" s="8" t="n">
        <v>1499</v>
      </c>
      <c r="I16" s="8" t="n">
        <f aca="false">G16*H16</f>
        <v>8994</v>
      </c>
    </row>
    <row r="17" customFormat="false" ht="15" hidden="false" customHeight="false" outlineLevel="0" collapsed="false">
      <c r="A17" s="0" t="n">
        <v>20</v>
      </c>
      <c r="B17" s="0" t="s">
        <v>46</v>
      </c>
      <c r="C17" s="0" t="s">
        <v>19</v>
      </c>
      <c r="D17" s="0" t="s">
        <v>20</v>
      </c>
      <c r="E17" s="0" t="s">
        <v>47</v>
      </c>
      <c r="F17" s="0" t="s">
        <v>34</v>
      </c>
      <c r="G17" s="0" t="n">
        <v>6</v>
      </c>
      <c r="H17" s="8" t="n">
        <v>499</v>
      </c>
      <c r="I17" s="8" t="n">
        <f aca="false">G17*H17</f>
        <v>2994</v>
      </c>
    </row>
    <row r="18" customFormat="false" ht="15" hidden="false" customHeight="false" outlineLevel="0" collapsed="false">
      <c r="A18" s="0" t="n">
        <v>20</v>
      </c>
      <c r="B18" s="0" t="s">
        <v>46</v>
      </c>
      <c r="C18" s="0" t="s">
        <v>19</v>
      </c>
      <c r="D18" s="0" t="s">
        <v>20</v>
      </c>
      <c r="E18" s="0" t="s">
        <v>48</v>
      </c>
      <c r="F18" s="0" t="s">
        <v>22</v>
      </c>
      <c r="G18" s="0" t="n">
        <v>10</v>
      </c>
      <c r="H18" s="8" t="n">
        <v>13999</v>
      </c>
      <c r="I18" s="8" t="n">
        <f aca="false">G18*H18</f>
        <v>139990</v>
      </c>
    </row>
    <row r="19" customFormat="false" ht="15" hidden="false" customHeight="false" outlineLevel="0" collapsed="false">
      <c r="A19" s="0" t="n">
        <v>19</v>
      </c>
      <c r="B19" s="0" t="s">
        <v>49</v>
      </c>
      <c r="C19" s="0" t="s">
        <v>50</v>
      </c>
      <c r="D19" s="0" t="s">
        <v>51</v>
      </c>
      <c r="E19" s="0" t="s">
        <v>42</v>
      </c>
      <c r="F19" s="0" t="s">
        <v>39</v>
      </c>
      <c r="G19" s="0" t="n">
        <v>2</v>
      </c>
      <c r="H19" s="8" t="n">
        <v>229</v>
      </c>
      <c r="I19" s="8" t="n">
        <f aca="false">G19*H19</f>
        <v>458</v>
      </c>
    </row>
    <row r="20" customFormat="false" ht="15" hidden="false" customHeight="false" outlineLevel="0" collapsed="false">
      <c r="A20" s="0" t="n">
        <v>19</v>
      </c>
      <c r="B20" s="0" t="s">
        <v>49</v>
      </c>
      <c r="C20" s="0" t="s">
        <v>50</v>
      </c>
      <c r="D20" s="0" t="s">
        <v>51</v>
      </c>
      <c r="E20" s="0" t="s">
        <v>21</v>
      </c>
      <c r="F20" s="0" t="s">
        <v>22</v>
      </c>
      <c r="G20" s="0" t="n">
        <v>6</v>
      </c>
      <c r="H20" s="8" t="n">
        <v>1899</v>
      </c>
      <c r="I20" s="8" t="n">
        <f aca="false">G20*H20</f>
        <v>11394</v>
      </c>
    </row>
    <row r="21" customFormat="false" ht="15" hidden="false" customHeight="false" outlineLevel="0" collapsed="false">
      <c r="A21" s="0" t="n">
        <v>11</v>
      </c>
      <c r="B21" s="0" t="s">
        <v>52</v>
      </c>
      <c r="C21" s="0" t="s">
        <v>50</v>
      </c>
      <c r="D21" s="0" t="s">
        <v>41</v>
      </c>
      <c r="E21" s="0" t="s">
        <v>53</v>
      </c>
      <c r="F21" s="0" t="s">
        <v>22</v>
      </c>
      <c r="G21" s="0" t="n">
        <v>12</v>
      </c>
      <c r="H21" s="8" t="n">
        <v>7499</v>
      </c>
      <c r="I21" s="8" t="n">
        <f aca="false">G21*H21</f>
        <v>89988</v>
      </c>
    </row>
    <row r="22" customFormat="false" ht="15" hidden="false" customHeight="false" outlineLevel="0" collapsed="false">
      <c r="A22" s="0" t="n">
        <v>11</v>
      </c>
      <c r="B22" s="0" t="s">
        <v>52</v>
      </c>
      <c r="C22" s="0" t="s">
        <v>50</v>
      </c>
      <c r="D22" s="0" t="s">
        <v>41</v>
      </c>
      <c r="E22" s="0" t="s">
        <v>42</v>
      </c>
      <c r="F22" s="0" t="s">
        <v>39</v>
      </c>
      <c r="G22" s="0" t="n">
        <v>7</v>
      </c>
      <c r="H22" s="8" t="n">
        <v>229</v>
      </c>
      <c r="I22" s="8" t="n">
        <f aca="false">G22*H22</f>
        <v>1603</v>
      </c>
    </row>
    <row r="23" customFormat="false" ht="15" hidden="false" customHeight="false" outlineLevel="0" collapsed="false">
      <c r="A23" s="0" t="n">
        <v>11</v>
      </c>
      <c r="B23" s="0" t="s">
        <v>52</v>
      </c>
      <c r="C23" s="0" t="s">
        <v>50</v>
      </c>
      <c r="D23" s="0" t="s">
        <v>41</v>
      </c>
      <c r="E23" s="0" t="s">
        <v>44</v>
      </c>
      <c r="F23" s="0" t="s">
        <v>32</v>
      </c>
      <c r="G23" s="0" t="n">
        <v>3</v>
      </c>
      <c r="H23" s="8" t="n">
        <v>2399</v>
      </c>
      <c r="I23" s="8" t="n">
        <f aca="false">G23*H23</f>
        <v>7197</v>
      </c>
    </row>
    <row r="24" customFormat="false" ht="15" hidden="false" customHeight="false" outlineLevel="0" collapsed="false">
      <c r="A24" s="0" t="n">
        <v>69</v>
      </c>
      <c r="B24" s="0" t="s">
        <v>54</v>
      </c>
      <c r="C24" s="0" t="s">
        <v>50</v>
      </c>
      <c r="D24" s="0" t="s">
        <v>24</v>
      </c>
      <c r="E24" s="0" t="s">
        <v>33</v>
      </c>
      <c r="F24" s="0" t="s">
        <v>34</v>
      </c>
      <c r="G24" s="0" t="n">
        <v>2</v>
      </c>
      <c r="H24" s="8" t="n">
        <v>1099</v>
      </c>
      <c r="I24" s="8" t="n">
        <f aca="false">G24*H24</f>
        <v>2198</v>
      </c>
    </row>
    <row r="25" customFormat="false" ht="15" hidden="false" customHeight="false" outlineLevel="0" collapsed="false">
      <c r="A25" s="0" t="n">
        <v>21</v>
      </c>
      <c r="B25" s="0" t="s">
        <v>55</v>
      </c>
      <c r="C25" s="0" t="s">
        <v>50</v>
      </c>
      <c r="D25" s="0" t="s">
        <v>56</v>
      </c>
      <c r="E25" s="0" t="s">
        <v>23</v>
      </c>
      <c r="F25" s="0" t="s">
        <v>22</v>
      </c>
      <c r="G25" s="0" t="n">
        <v>8</v>
      </c>
      <c r="H25" s="8" t="n">
        <v>999</v>
      </c>
      <c r="I25" s="8" t="n">
        <f aca="false">G25*H25</f>
        <v>7992</v>
      </c>
    </row>
    <row r="26" customFormat="false" ht="15" hidden="false" customHeight="false" outlineLevel="0" collapsed="false">
      <c r="A26" s="0" t="n">
        <v>21</v>
      </c>
      <c r="B26" s="0" t="s">
        <v>55</v>
      </c>
      <c r="C26" s="0" t="s">
        <v>50</v>
      </c>
      <c r="D26" s="0" t="s">
        <v>56</v>
      </c>
      <c r="E26" s="0" t="s">
        <v>31</v>
      </c>
      <c r="F26" s="0" t="s">
        <v>32</v>
      </c>
      <c r="G26" s="0" t="n">
        <v>1</v>
      </c>
      <c r="H26" s="8" t="n">
        <v>5499</v>
      </c>
      <c r="I26" s="8" t="n">
        <f aca="false">G26*H26</f>
        <v>5499</v>
      </c>
    </row>
    <row r="27" customFormat="false" ht="15" hidden="false" customHeight="false" outlineLevel="0" collapsed="false">
      <c r="A27" s="0" t="n">
        <v>21</v>
      </c>
      <c r="B27" s="0" t="s">
        <v>55</v>
      </c>
      <c r="C27" s="0" t="s">
        <v>50</v>
      </c>
      <c r="D27" s="0" t="s">
        <v>56</v>
      </c>
      <c r="E27" s="0" t="s">
        <v>38</v>
      </c>
      <c r="F27" s="0" t="s">
        <v>39</v>
      </c>
      <c r="G27" s="0" t="n">
        <v>2</v>
      </c>
      <c r="H27" s="8" t="n">
        <v>249</v>
      </c>
      <c r="I27" s="8" t="n">
        <f aca="false">G27*H27</f>
        <v>498</v>
      </c>
    </row>
    <row r="28" customFormat="false" ht="15" hidden="false" customHeight="false" outlineLevel="0" collapsed="false">
      <c r="A28" s="0" t="n">
        <v>21</v>
      </c>
      <c r="B28" s="0" t="s">
        <v>55</v>
      </c>
      <c r="C28" s="0" t="s">
        <v>50</v>
      </c>
      <c r="D28" s="0" t="s">
        <v>56</v>
      </c>
      <c r="E28" s="0" t="s">
        <v>47</v>
      </c>
      <c r="F28" s="0" t="s">
        <v>34</v>
      </c>
      <c r="G28" s="0" t="n">
        <v>8</v>
      </c>
      <c r="H28" s="8" t="n">
        <v>499</v>
      </c>
      <c r="I28" s="8" t="n">
        <f aca="false">G28*H28</f>
        <v>3992</v>
      </c>
    </row>
    <row r="29" customFormat="false" ht="15" hidden="false" customHeight="false" outlineLevel="0" collapsed="false">
      <c r="A29" s="0" t="n">
        <v>59</v>
      </c>
      <c r="B29" s="0" t="s">
        <v>55</v>
      </c>
      <c r="C29" s="0" t="s">
        <v>50</v>
      </c>
      <c r="D29" s="0" t="s">
        <v>56</v>
      </c>
      <c r="E29" s="0" t="s">
        <v>57</v>
      </c>
      <c r="F29" s="0" t="s">
        <v>39</v>
      </c>
      <c r="G29" s="0" t="n">
        <v>2</v>
      </c>
      <c r="H29" s="8" t="n">
        <v>199</v>
      </c>
      <c r="I29" s="8" t="n">
        <f aca="false">G29*H29</f>
        <v>398</v>
      </c>
    </row>
    <row r="30" customFormat="false" ht="15" hidden="false" customHeight="false" outlineLevel="0" collapsed="false">
      <c r="A30" s="0" t="n">
        <v>59</v>
      </c>
      <c r="B30" s="0" t="s">
        <v>55</v>
      </c>
      <c r="C30" s="0" t="s">
        <v>50</v>
      </c>
      <c r="D30" s="0" t="s">
        <v>56</v>
      </c>
      <c r="E30" s="0" t="s">
        <v>21</v>
      </c>
      <c r="F30" s="0" t="s">
        <v>22</v>
      </c>
      <c r="G30" s="0" t="n">
        <v>11</v>
      </c>
      <c r="H30" s="8" t="n">
        <v>1899</v>
      </c>
      <c r="I30" s="8" t="n">
        <f aca="false">G30*H30</f>
        <v>20889</v>
      </c>
    </row>
    <row r="31" customFormat="false" ht="15" hidden="false" customHeight="false" outlineLevel="0" collapsed="false">
      <c r="A31" s="0" t="n">
        <v>59</v>
      </c>
      <c r="B31" s="0" t="s">
        <v>55</v>
      </c>
      <c r="C31" s="0" t="s">
        <v>50</v>
      </c>
      <c r="D31" s="0" t="s">
        <v>56</v>
      </c>
      <c r="E31" s="0" t="s">
        <v>58</v>
      </c>
      <c r="F31" s="0" t="s">
        <v>22</v>
      </c>
      <c r="G31" s="0" t="n">
        <v>7</v>
      </c>
      <c r="H31" s="8" t="n">
        <v>2799</v>
      </c>
      <c r="I31" s="8" t="n">
        <f aca="false">G31*H31</f>
        <v>19593</v>
      </c>
    </row>
    <row r="32" customFormat="false" ht="15" hidden="false" customHeight="false" outlineLevel="0" collapsed="false">
      <c r="A32" s="0" t="n">
        <v>9</v>
      </c>
      <c r="B32" s="0" t="s">
        <v>59</v>
      </c>
      <c r="C32" s="0" t="s">
        <v>50</v>
      </c>
      <c r="D32" s="0" t="s">
        <v>20</v>
      </c>
      <c r="E32" s="0" t="s">
        <v>21</v>
      </c>
      <c r="F32" s="0" t="s">
        <v>22</v>
      </c>
      <c r="G32" s="0" t="n">
        <v>7</v>
      </c>
      <c r="H32" s="8" t="n">
        <v>1899</v>
      </c>
      <c r="I32" s="8" t="n">
        <f aca="false">G32*H32</f>
        <v>13293</v>
      </c>
    </row>
    <row r="33" customFormat="false" ht="15" hidden="false" customHeight="false" outlineLevel="0" collapsed="false">
      <c r="A33" s="0" t="n">
        <v>9</v>
      </c>
      <c r="B33" s="0" t="s">
        <v>59</v>
      </c>
      <c r="C33" s="0" t="s">
        <v>50</v>
      </c>
      <c r="D33" s="0" t="s">
        <v>20</v>
      </c>
      <c r="E33" s="0" t="s">
        <v>60</v>
      </c>
      <c r="F33" s="0" t="s">
        <v>39</v>
      </c>
      <c r="G33" s="0" t="n">
        <v>1</v>
      </c>
      <c r="H33" s="8" t="n">
        <v>320</v>
      </c>
      <c r="I33" s="8" t="n">
        <f aca="false">G33*H33</f>
        <v>320</v>
      </c>
    </row>
    <row r="34" customFormat="false" ht="15" hidden="false" customHeight="false" outlineLevel="0" collapsed="false">
      <c r="A34" s="0" t="n">
        <v>9</v>
      </c>
      <c r="B34" s="0" t="s">
        <v>59</v>
      </c>
      <c r="C34" s="0" t="s">
        <v>50</v>
      </c>
      <c r="D34" s="0" t="s">
        <v>20</v>
      </c>
      <c r="E34" s="0" t="s">
        <v>23</v>
      </c>
      <c r="F34" s="0" t="s">
        <v>22</v>
      </c>
      <c r="G34" s="0" t="n">
        <v>11</v>
      </c>
      <c r="H34" s="8" t="n">
        <v>999</v>
      </c>
      <c r="I34" s="8" t="n">
        <f aca="false">G34*H34</f>
        <v>10989</v>
      </c>
    </row>
    <row r="35" customFormat="false" ht="15" hidden="false" customHeight="false" outlineLevel="0" collapsed="false">
      <c r="A35" s="0" t="n">
        <v>9</v>
      </c>
      <c r="B35" s="0" t="s">
        <v>59</v>
      </c>
      <c r="C35" s="0" t="s">
        <v>50</v>
      </c>
      <c r="D35" s="0" t="s">
        <v>20</v>
      </c>
      <c r="E35" s="0" t="s">
        <v>37</v>
      </c>
      <c r="F35" s="0" t="s">
        <v>34</v>
      </c>
      <c r="G35" s="0" t="n">
        <v>2</v>
      </c>
      <c r="H35" s="8" t="n">
        <v>3499</v>
      </c>
      <c r="I35" s="8" t="n">
        <f aca="false">G35*H35</f>
        <v>6998</v>
      </c>
    </row>
    <row r="36" customFormat="false" ht="15" hidden="false" customHeight="false" outlineLevel="0" collapsed="false">
      <c r="A36" s="0" t="n">
        <v>29</v>
      </c>
      <c r="B36" s="0" t="s">
        <v>61</v>
      </c>
      <c r="C36" s="0" t="s">
        <v>50</v>
      </c>
      <c r="D36" s="0" t="s">
        <v>26</v>
      </c>
      <c r="E36" s="0" t="s">
        <v>62</v>
      </c>
      <c r="F36" s="0" t="s">
        <v>39</v>
      </c>
      <c r="G36" s="0" t="n">
        <v>12</v>
      </c>
      <c r="H36" s="8" t="n">
        <v>299</v>
      </c>
      <c r="I36" s="8" t="n">
        <f aca="false">G36*H36</f>
        <v>3588</v>
      </c>
    </row>
    <row r="37" customFormat="false" ht="15" hidden="false" customHeight="false" outlineLevel="0" collapsed="false">
      <c r="A37" s="0" t="n">
        <v>52</v>
      </c>
      <c r="B37" s="0" t="s">
        <v>63</v>
      </c>
      <c r="C37" s="0" t="s">
        <v>50</v>
      </c>
      <c r="D37" s="0" t="s">
        <v>64</v>
      </c>
      <c r="E37" s="0" t="s">
        <v>40</v>
      </c>
      <c r="F37" s="0" t="s">
        <v>22</v>
      </c>
      <c r="G37" s="0" t="n">
        <v>4</v>
      </c>
      <c r="H37" s="8" t="n">
        <v>749</v>
      </c>
      <c r="I37" s="8" t="n">
        <f aca="false">G37*H37</f>
        <v>2996</v>
      </c>
    </row>
    <row r="38" customFormat="false" ht="15" hidden="false" customHeight="false" outlineLevel="0" collapsed="false">
      <c r="A38" s="0" t="n">
        <v>33</v>
      </c>
      <c r="B38" s="0" t="s">
        <v>65</v>
      </c>
      <c r="C38" s="0" t="s">
        <v>50</v>
      </c>
      <c r="D38" s="0" t="s">
        <v>56</v>
      </c>
      <c r="E38" s="0" t="s">
        <v>57</v>
      </c>
      <c r="F38" s="0" t="s">
        <v>39</v>
      </c>
      <c r="G38" s="0" t="n">
        <v>4</v>
      </c>
      <c r="H38" s="8" t="n">
        <v>199</v>
      </c>
      <c r="I38" s="8" t="n">
        <f aca="false">G38*H38</f>
        <v>796</v>
      </c>
    </row>
    <row r="39" customFormat="false" ht="15" hidden="false" customHeight="false" outlineLevel="0" collapsed="false">
      <c r="A39" s="0" t="n">
        <v>33</v>
      </c>
      <c r="B39" s="0" t="s">
        <v>65</v>
      </c>
      <c r="C39" s="0" t="s">
        <v>50</v>
      </c>
      <c r="D39" s="0" t="s">
        <v>56</v>
      </c>
      <c r="E39" s="0" t="s">
        <v>66</v>
      </c>
      <c r="F39" s="0" t="s">
        <v>32</v>
      </c>
      <c r="G39" s="0" t="n">
        <v>1</v>
      </c>
      <c r="H39" s="8" t="n">
        <v>7999</v>
      </c>
      <c r="I39" s="8" t="n">
        <f aca="false">G39*H39</f>
        <v>7999</v>
      </c>
    </row>
    <row r="40" customFormat="false" ht="15" hidden="false" customHeight="false" outlineLevel="0" collapsed="false">
      <c r="A40" s="0" t="n">
        <v>68</v>
      </c>
      <c r="B40" s="0" t="s">
        <v>67</v>
      </c>
      <c r="C40" s="0" t="s">
        <v>50</v>
      </c>
      <c r="D40" s="0" t="s">
        <v>26</v>
      </c>
      <c r="E40" s="0" t="s">
        <v>47</v>
      </c>
      <c r="F40" s="0" t="s">
        <v>34</v>
      </c>
      <c r="G40" s="0" t="n">
        <v>8</v>
      </c>
      <c r="H40" s="8" t="n">
        <v>499</v>
      </c>
      <c r="I40" s="8" t="n">
        <f aca="false">G40*H40</f>
        <v>3992</v>
      </c>
    </row>
    <row r="41" customFormat="false" ht="15" hidden="false" customHeight="false" outlineLevel="0" collapsed="false">
      <c r="A41" s="0" t="n">
        <v>68</v>
      </c>
      <c r="B41" s="0" t="s">
        <v>67</v>
      </c>
      <c r="C41" s="0" t="s">
        <v>50</v>
      </c>
      <c r="D41" s="0" t="s">
        <v>26</v>
      </c>
      <c r="E41" s="0" t="s">
        <v>58</v>
      </c>
      <c r="F41" s="0" t="s">
        <v>22</v>
      </c>
      <c r="G41" s="0" t="n">
        <v>5</v>
      </c>
      <c r="H41" s="8" t="n">
        <v>2799</v>
      </c>
      <c r="I41" s="8" t="n">
        <f aca="false">G41*H41</f>
        <v>13995</v>
      </c>
    </row>
    <row r="42" customFormat="false" ht="15" hidden="false" customHeight="false" outlineLevel="0" collapsed="false">
      <c r="A42" s="0" t="n">
        <v>68</v>
      </c>
      <c r="B42" s="0" t="s">
        <v>67</v>
      </c>
      <c r="C42" s="0" t="s">
        <v>50</v>
      </c>
      <c r="D42" s="0" t="s">
        <v>26</v>
      </c>
      <c r="E42" s="0" t="s">
        <v>27</v>
      </c>
      <c r="F42" s="0" t="s">
        <v>22</v>
      </c>
      <c r="G42" s="0" t="n">
        <v>1</v>
      </c>
      <c r="H42" s="8" t="n">
        <v>599</v>
      </c>
      <c r="I42" s="8" t="n">
        <f aca="false">G42*H42</f>
        <v>599</v>
      </c>
    </row>
    <row r="43" customFormat="false" ht="15" hidden="false" customHeight="false" outlineLevel="0" collapsed="false">
      <c r="A43" s="0" t="n">
        <v>68</v>
      </c>
      <c r="B43" s="0" t="s">
        <v>67</v>
      </c>
      <c r="C43" s="0" t="s">
        <v>50</v>
      </c>
      <c r="D43" s="0" t="s">
        <v>26</v>
      </c>
      <c r="E43" s="0" t="s">
        <v>45</v>
      </c>
      <c r="F43" s="0" t="s">
        <v>32</v>
      </c>
      <c r="G43" s="0" t="n">
        <v>4</v>
      </c>
      <c r="H43" s="8" t="n">
        <v>9499</v>
      </c>
      <c r="I43" s="8" t="n">
        <f aca="false">G43*H43</f>
        <v>37996</v>
      </c>
    </row>
    <row r="44" customFormat="false" ht="15" hidden="false" customHeight="false" outlineLevel="0" collapsed="false">
      <c r="A44" s="0" t="n">
        <v>48</v>
      </c>
      <c r="B44" s="0" t="s">
        <v>68</v>
      </c>
      <c r="C44" s="0" t="s">
        <v>50</v>
      </c>
      <c r="D44" s="0" t="s">
        <v>69</v>
      </c>
      <c r="E44" s="0" t="s">
        <v>48</v>
      </c>
      <c r="F44" s="0" t="s">
        <v>22</v>
      </c>
      <c r="G44" s="0" t="n">
        <v>5</v>
      </c>
      <c r="H44" s="8" t="n">
        <v>13999</v>
      </c>
      <c r="I44" s="8" t="n">
        <f aca="false">G44*H44</f>
        <v>69995</v>
      </c>
    </row>
    <row r="45" customFormat="false" ht="15" hidden="false" customHeight="false" outlineLevel="0" collapsed="false">
      <c r="A45" s="0" t="n">
        <v>48</v>
      </c>
      <c r="B45" s="0" t="s">
        <v>68</v>
      </c>
      <c r="C45" s="0" t="s">
        <v>50</v>
      </c>
      <c r="D45" s="0" t="s">
        <v>69</v>
      </c>
      <c r="E45" s="0" t="s">
        <v>30</v>
      </c>
      <c r="F45" s="0" t="s">
        <v>22</v>
      </c>
      <c r="G45" s="0" t="n">
        <v>5</v>
      </c>
      <c r="H45" s="8" t="n">
        <v>1499</v>
      </c>
      <c r="I45" s="8" t="n">
        <f aca="false">G45*H45</f>
        <v>7495</v>
      </c>
    </row>
    <row r="46" customFormat="false" ht="15" hidden="false" customHeight="false" outlineLevel="0" collapsed="false">
      <c r="A46" s="0" t="n">
        <v>38</v>
      </c>
      <c r="B46" s="0" t="s">
        <v>70</v>
      </c>
      <c r="C46" s="0" t="s">
        <v>71</v>
      </c>
      <c r="D46" s="0" t="s">
        <v>72</v>
      </c>
      <c r="E46" s="0" t="s">
        <v>33</v>
      </c>
      <c r="F46" s="0" t="s">
        <v>34</v>
      </c>
      <c r="G46" s="0" t="n">
        <v>8</v>
      </c>
      <c r="H46" s="8" t="n">
        <v>1099</v>
      </c>
      <c r="I46" s="8" t="n">
        <f aca="false">G46*H46</f>
        <v>8792</v>
      </c>
    </row>
    <row r="47" customFormat="false" ht="15" hidden="false" customHeight="false" outlineLevel="0" collapsed="false">
      <c r="A47" s="0" t="n">
        <v>38</v>
      </c>
      <c r="B47" s="0" t="s">
        <v>70</v>
      </c>
      <c r="C47" s="0" t="s">
        <v>71</v>
      </c>
      <c r="D47" s="0" t="s">
        <v>72</v>
      </c>
      <c r="E47" s="0" t="s">
        <v>40</v>
      </c>
      <c r="F47" s="0" t="s">
        <v>22</v>
      </c>
      <c r="G47" s="0" t="n">
        <v>2</v>
      </c>
      <c r="H47" s="8" t="n">
        <v>749</v>
      </c>
      <c r="I47" s="8" t="n">
        <f aca="false">G47*H47</f>
        <v>1498</v>
      </c>
    </row>
    <row r="48" customFormat="false" ht="15" hidden="false" customHeight="false" outlineLevel="0" collapsed="false">
      <c r="A48" s="0" t="n">
        <v>38</v>
      </c>
      <c r="B48" s="0" t="s">
        <v>70</v>
      </c>
      <c r="C48" s="0" t="s">
        <v>71</v>
      </c>
      <c r="D48" s="0" t="s">
        <v>72</v>
      </c>
      <c r="E48" s="0" t="s">
        <v>47</v>
      </c>
      <c r="F48" s="0" t="s">
        <v>34</v>
      </c>
      <c r="G48" s="0" t="n">
        <v>9</v>
      </c>
      <c r="H48" s="8" t="n">
        <v>499</v>
      </c>
      <c r="I48" s="8" t="n">
        <f aca="false">G48*H48</f>
        <v>4491</v>
      </c>
    </row>
    <row r="49" customFormat="false" ht="15" hidden="false" customHeight="false" outlineLevel="0" collapsed="false">
      <c r="A49" s="0" t="n">
        <v>44</v>
      </c>
      <c r="B49" s="0" t="s">
        <v>73</v>
      </c>
      <c r="C49" s="0" t="s">
        <v>71</v>
      </c>
      <c r="D49" s="0" t="s">
        <v>74</v>
      </c>
      <c r="E49" s="0" t="s">
        <v>38</v>
      </c>
      <c r="F49" s="0" t="s">
        <v>39</v>
      </c>
      <c r="G49" s="0" t="n">
        <v>5</v>
      </c>
      <c r="H49" s="8" t="n">
        <v>249</v>
      </c>
      <c r="I49" s="8" t="n">
        <f aca="false">G49*H49</f>
        <v>1245</v>
      </c>
    </row>
    <row r="50" customFormat="false" ht="15" hidden="false" customHeight="false" outlineLevel="0" collapsed="false">
      <c r="A50" s="0" t="n">
        <v>44</v>
      </c>
      <c r="B50" s="0" t="s">
        <v>73</v>
      </c>
      <c r="C50" s="0" t="s">
        <v>71</v>
      </c>
      <c r="D50" s="0" t="s">
        <v>74</v>
      </c>
      <c r="E50" s="0" t="s">
        <v>23</v>
      </c>
      <c r="F50" s="0" t="s">
        <v>22</v>
      </c>
      <c r="G50" s="0" t="n">
        <v>3</v>
      </c>
      <c r="H50" s="8" t="n">
        <v>999</v>
      </c>
      <c r="I50" s="8" t="n">
        <f aca="false">G50*H50</f>
        <v>2997</v>
      </c>
    </row>
    <row r="51" customFormat="false" ht="15" hidden="false" customHeight="false" outlineLevel="0" collapsed="false">
      <c r="A51" s="0" t="n">
        <v>35</v>
      </c>
      <c r="B51" s="0" t="s">
        <v>75</v>
      </c>
      <c r="C51" s="0" t="s">
        <v>71</v>
      </c>
      <c r="D51" s="0" t="s">
        <v>51</v>
      </c>
      <c r="E51" s="0" t="s">
        <v>42</v>
      </c>
      <c r="F51" s="0" t="s">
        <v>39</v>
      </c>
      <c r="G51" s="0" t="n">
        <v>7</v>
      </c>
      <c r="H51" s="8" t="n">
        <v>229</v>
      </c>
      <c r="I51" s="8" t="n">
        <f aca="false">G51*H51</f>
        <v>1603</v>
      </c>
    </row>
    <row r="52" customFormat="false" ht="15" hidden="false" customHeight="false" outlineLevel="0" collapsed="false">
      <c r="A52" s="0" t="n">
        <v>35</v>
      </c>
      <c r="B52" s="0" t="s">
        <v>75</v>
      </c>
      <c r="C52" s="0" t="s">
        <v>71</v>
      </c>
      <c r="D52" s="0" t="s">
        <v>51</v>
      </c>
      <c r="E52" s="0" t="s">
        <v>53</v>
      </c>
      <c r="F52" s="0" t="s">
        <v>22</v>
      </c>
      <c r="G52" s="0" t="n">
        <v>9</v>
      </c>
      <c r="H52" s="8" t="n">
        <v>7499</v>
      </c>
      <c r="I52" s="8" t="n">
        <f aca="false">G52*H52</f>
        <v>67491</v>
      </c>
    </row>
    <row r="53" customFormat="false" ht="15" hidden="false" customHeight="false" outlineLevel="0" collapsed="false">
      <c r="A53" s="0" t="n">
        <v>35</v>
      </c>
      <c r="B53" s="0" t="s">
        <v>75</v>
      </c>
      <c r="C53" s="0" t="s">
        <v>71</v>
      </c>
      <c r="D53" s="0" t="s">
        <v>51</v>
      </c>
      <c r="E53" s="0" t="s">
        <v>33</v>
      </c>
      <c r="F53" s="0" t="s">
        <v>34</v>
      </c>
      <c r="G53" s="0" t="n">
        <v>3</v>
      </c>
      <c r="H53" s="8" t="n">
        <v>1099</v>
      </c>
      <c r="I53" s="8" t="n">
        <f aca="false">G53*H53</f>
        <v>3297</v>
      </c>
    </row>
    <row r="54" customFormat="false" ht="15" hidden="false" customHeight="false" outlineLevel="0" collapsed="false">
      <c r="A54" s="0" t="n">
        <v>5</v>
      </c>
      <c r="B54" s="0" t="s">
        <v>76</v>
      </c>
      <c r="C54" s="0" t="s">
        <v>71</v>
      </c>
      <c r="D54" s="0" t="s">
        <v>51</v>
      </c>
      <c r="E54" s="0" t="s">
        <v>47</v>
      </c>
      <c r="F54" s="0" t="s">
        <v>34</v>
      </c>
      <c r="G54" s="0" t="n">
        <v>10</v>
      </c>
      <c r="H54" s="8" t="n">
        <v>499</v>
      </c>
      <c r="I54" s="8" t="n">
        <f aca="false">G54*H54</f>
        <v>4990</v>
      </c>
    </row>
    <row r="55" customFormat="false" ht="15" hidden="false" customHeight="false" outlineLevel="0" collapsed="false">
      <c r="A55" s="0" t="n">
        <v>5</v>
      </c>
      <c r="B55" s="0" t="s">
        <v>76</v>
      </c>
      <c r="C55" s="0" t="s">
        <v>71</v>
      </c>
      <c r="D55" s="0" t="s">
        <v>51</v>
      </c>
      <c r="E55" s="0" t="s">
        <v>21</v>
      </c>
      <c r="F55" s="0" t="s">
        <v>22</v>
      </c>
      <c r="G55" s="0" t="n">
        <v>10</v>
      </c>
      <c r="H55" s="8" t="n">
        <v>1899</v>
      </c>
      <c r="I55" s="8" t="n">
        <f aca="false">G55*H55</f>
        <v>18990</v>
      </c>
    </row>
    <row r="56" customFormat="false" ht="15" hidden="false" customHeight="false" outlineLevel="0" collapsed="false">
      <c r="A56" s="0" t="n">
        <v>5</v>
      </c>
      <c r="B56" s="0" t="s">
        <v>76</v>
      </c>
      <c r="C56" s="0" t="s">
        <v>71</v>
      </c>
      <c r="D56" s="0" t="s">
        <v>51</v>
      </c>
      <c r="E56" s="0" t="s">
        <v>48</v>
      </c>
      <c r="F56" s="0" t="s">
        <v>22</v>
      </c>
      <c r="G56" s="0" t="n">
        <v>11</v>
      </c>
      <c r="H56" s="8" t="n">
        <v>13999</v>
      </c>
      <c r="I56" s="8" t="n">
        <f aca="false">G56*H56</f>
        <v>153989</v>
      </c>
    </row>
    <row r="57" customFormat="false" ht="15" hidden="false" customHeight="false" outlineLevel="0" collapsed="false">
      <c r="A57" s="0" t="n">
        <v>1</v>
      </c>
      <c r="B57" s="0" t="s">
        <v>77</v>
      </c>
      <c r="C57" s="0" t="s">
        <v>71</v>
      </c>
      <c r="D57" s="0" t="s">
        <v>26</v>
      </c>
      <c r="E57" s="0" t="s">
        <v>30</v>
      </c>
      <c r="F57" s="0" t="s">
        <v>22</v>
      </c>
      <c r="G57" s="0" t="n">
        <v>9</v>
      </c>
      <c r="H57" s="8" t="n">
        <v>1499</v>
      </c>
      <c r="I57" s="8" t="n">
        <f aca="false">G57*H57</f>
        <v>13491</v>
      </c>
    </row>
    <row r="58" customFormat="false" ht="15" hidden="false" customHeight="false" outlineLevel="0" collapsed="false">
      <c r="A58" s="0" t="n">
        <v>36</v>
      </c>
      <c r="B58" s="0" t="s">
        <v>77</v>
      </c>
      <c r="C58" s="0" t="s">
        <v>71</v>
      </c>
      <c r="D58" s="0" t="s">
        <v>29</v>
      </c>
      <c r="E58" s="0" t="s">
        <v>42</v>
      </c>
      <c r="F58" s="0" t="s">
        <v>39</v>
      </c>
      <c r="G58" s="0" t="n">
        <v>3</v>
      </c>
      <c r="H58" s="8" t="n">
        <v>229</v>
      </c>
      <c r="I58" s="8" t="n">
        <f aca="false">G58*H58</f>
        <v>687</v>
      </c>
    </row>
    <row r="59" customFormat="false" ht="15" hidden="false" customHeight="false" outlineLevel="0" collapsed="false">
      <c r="A59" s="0" t="n">
        <v>23</v>
      </c>
      <c r="B59" s="0" t="s">
        <v>78</v>
      </c>
      <c r="C59" s="0" t="s">
        <v>71</v>
      </c>
      <c r="D59" s="0" t="s">
        <v>41</v>
      </c>
      <c r="E59" s="0" t="s">
        <v>33</v>
      </c>
      <c r="F59" s="0" t="s">
        <v>34</v>
      </c>
      <c r="G59" s="0" t="n">
        <v>3</v>
      </c>
      <c r="H59" s="8" t="n">
        <v>1099</v>
      </c>
      <c r="I59" s="8" t="n">
        <f aca="false">G59*H59</f>
        <v>3297</v>
      </c>
    </row>
    <row r="60" customFormat="false" ht="15" hidden="false" customHeight="false" outlineLevel="0" collapsed="false">
      <c r="A60" s="0" t="n">
        <v>23</v>
      </c>
      <c r="B60" s="0" t="s">
        <v>78</v>
      </c>
      <c r="C60" s="0" t="s">
        <v>71</v>
      </c>
      <c r="D60" s="0" t="s">
        <v>41</v>
      </c>
      <c r="E60" s="0" t="s">
        <v>38</v>
      </c>
      <c r="F60" s="0" t="s">
        <v>39</v>
      </c>
      <c r="G60" s="0" t="n">
        <v>12</v>
      </c>
      <c r="H60" s="8" t="n">
        <v>249</v>
      </c>
      <c r="I60" s="8" t="n">
        <f aca="false">G60*H60</f>
        <v>2988</v>
      </c>
    </row>
    <row r="61" customFormat="false" ht="15" hidden="false" customHeight="false" outlineLevel="0" collapsed="false">
      <c r="A61" s="0" t="n">
        <v>49</v>
      </c>
      <c r="B61" s="0" t="s">
        <v>79</v>
      </c>
      <c r="C61" s="0" t="s">
        <v>80</v>
      </c>
      <c r="D61" s="0" t="s">
        <v>56</v>
      </c>
      <c r="E61" s="0" t="s">
        <v>57</v>
      </c>
      <c r="F61" s="0" t="s">
        <v>39</v>
      </c>
      <c r="G61" s="0" t="n">
        <v>7</v>
      </c>
      <c r="H61" s="8" t="n">
        <v>199</v>
      </c>
      <c r="I61" s="8" t="n">
        <f aca="false">G61*H61</f>
        <v>1393</v>
      </c>
    </row>
    <row r="62" customFormat="false" ht="15" hidden="false" customHeight="false" outlineLevel="0" collapsed="false">
      <c r="A62" s="0" t="n">
        <v>49</v>
      </c>
      <c r="B62" s="0" t="s">
        <v>79</v>
      </c>
      <c r="C62" s="0" t="s">
        <v>80</v>
      </c>
      <c r="D62" s="0" t="s">
        <v>56</v>
      </c>
      <c r="E62" s="0" t="s">
        <v>31</v>
      </c>
      <c r="F62" s="0" t="s">
        <v>32</v>
      </c>
      <c r="G62" s="0" t="n">
        <v>2</v>
      </c>
      <c r="H62" s="8" t="n">
        <v>5499</v>
      </c>
      <c r="I62" s="8" t="n">
        <f aca="false">G62*H62</f>
        <v>10998</v>
      </c>
    </row>
    <row r="63" customFormat="false" ht="15" hidden="false" customHeight="false" outlineLevel="0" collapsed="false">
      <c r="A63" s="0" t="n">
        <v>51</v>
      </c>
      <c r="B63" s="0" t="s">
        <v>81</v>
      </c>
      <c r="C63" s="0" t="s">
        <v>80</v>
      </c>
      <c r="D63" s="0" t="s">
        <v>24</v>
      </c>
      <c r="E63" s="0" t="s">
        <v>31</v>
      </c>
      <c r="F63" s="0" t="s">
        <v>32</v>
      </c>
      <c r="G63" s="0" t="n">
        <v>1</v>
      </c>
      <c r="H63" s="8" t="n">
        <v>5499</v>
      </c>
      <c r="I63" s="8" t="n">
        <f aca="false">G63*H63</f>
        <v>5499</v>
      </c>
    </row>
    <row r="64" customFormat="false" ht="15" hidden="false" customHeight="false" outlineLevel="0" collapsed="false">
      <c r="A64" s="0" t="n">
        <v>27</v>
      </c>
      <c r="B64" s="0" t="s">
        <v>82</v>
      </c>
      <c r="C64" s="0" t="s">
        <v>80</v>
      </c>
      <c r="D64" s="0" t="s">
        <v>74</v>
      </c>
      <c r="E64" s="0" t="s">
        <v>42</v>
      </c>
      <c r="F64" s="0" t="s">
        <v>39</v>
      </c>
      <c r="G64" s="0" t="n">
        <v>2</v>
      </c>
      <c r="H64" s="8" t="n">
        <v>229</v>
      </c>
      <c r="I64" s="8" t="n">
        <f aca="false">G64*H64</f>
        <v>458</v>
      </c>
    </row>
    <row r="65" customFormat="false" ht="15" hidden="false" customHeight="false" outlineLevel="0" collapsed="false">
      <c r="A65" s="0" t="n">
        <v>27</v>
      </c>
      <c r="B65" s="0" t="s">
        <v>82</v>
      </c>
      <c r="C65" s="0" t="s">
        <v>80</v>
      </c>
      <c r="D65" s="0" t="s">
        <v>74</v>
      </c>
      <c r="E65" s="0" t="s">
        <v>38</v>
      </c>
      <c r="F65" s="0" t="s">
        <v>39</v>
      </c>
      <c r="G65" s="0" t="n">
        <v>4</v>
      </c>
      <c r="H65" s="8" t="n">
        <v>249</v>
      </c>
      <c r="I65" s="8" t="n">
        <f aca="false">G65*H65</f>
        <v>996</v>
      </c>
    </row>
    <row r="66" customFormat="false" ht="15" hidden="false" customHeight="false" outlineLevel="0" collapsed="false">
      <c r="A66" s="0" t="n">
        <v>27</v>
      </c>
      <c r="B66" s="0" t="s">
        <v>82</v>
      </c>
      <c r="C66" s="0" t="s">
        <v>80</v>
      </c>
      <c r="D66" s="0" t="s">
        <v>74</v>
      </c>
      <c r="E66" s="0" t="s">
        <v>53</v>
      </c>
      <c r="F66" s="0" t="s">
        <v>22</v>
      </c>
      <c r="G66" s="0" t="n">
        <v>2</v>
      </c>
      <c r="H66" s="8" t="n">
        <v>7499</v>
      </c>
      <c r="I66" s="8" t="n">
        <f aca="false">G66*H66</f>
        <v>14998</v>
      </c>
    </row>
    <row r="67" customFormat="false" ht="15" hidden="false" customHeight="false" outlineLevel="0" collapsed="false">
      <c r="A67" s="0" t="n">
        <v>30</v>
      </c>
      <c r="B67" s="0" t="s">
        <v>83</v>
      </c>
      <c r="C67" s="0" t="s">
        <v>80</v>
      </c>
      <c r="D67" s="0" t="s">
        <v>24</v>
      </c>
      <c r="E67" s="0" t="s">
        <v>57</v>
      </c>
      <c r="F67" s="0" t="s">
        <v>39</v>
      </c>
      <c r="G67" s="0" t="n">
        <v>2</v>
      </c>
      <c r="H67" s="8" t="n">
        <v>199</v>
      </c>
      <c r="I67" s="8" t="n">
        <f aca="false">G67*H67</f>
        <v>398</v>
      </c>
    </row>
    <row r="68" customFormat="false" ht="15" hidden="false" customHeight="false" outlineLevel="0" collapsed="false">
      <c r="A68" s="0" t="n">
        <v>30</v>
      </c>
      <c r="B68" s="0" t="s">
        <v>83</v>
      </c>
      <c r="C68" s="0" t="s">
        <v>80</v>
      </c>
      <c r="D68" s="0" t="s">
        <v>24</v>
      </c>
      <c r="E68" s="0" t="s">
        <v>60</v>
      </c>
      <c r="F68" s="0" t="s">
        <v>39</v>
      </c>
      <c r="G68" s="0" t="n">
        <v>12</v>
      </c>
      <c r="H68" s="8" t="n">
        <v>320</v>
      </c>
      <c r="I68" s="8" t="n">
        <f aca="false">G68*H68</f>
        <v>3840</v>
      </c>
    </row>
    <row r="69" customFormat="false" ht="15" hidden="false" customHeight="false" outlineLevel="0" collapsed="false">
      <c r="A69" s="0" t="n">
        <v>7</v>
      </c>
      <c r="B69" s="0" t="s">
        <v>84</v>
      </c>
      <c r="C69" s="0" t="s">
        <v>80</v>
      </c>
      <c r="D69" s="0" t="s">
        <v>20</v>
      </c>
      <c r="E69" s="0" t="s">
        <v>60</v>
      </c>
      <c r="F69" s="0" t="s">
        <v>39</v>
      </c>
      <c r="G69" s="0" t="n">
        <v>5</v>
      </c>
      <c r="H69" s="8" t="n">
        <v>320</v>
      </c>
      <c r="I69" s="8" t="n">
        <f aca="false">G69*H69</f>
        <v>1600</v>
      </c>
    </row>
    <row r="70" customFormat="false" ht="15" hidden="false" customHeight="false" outlineLevel="0" collapsed="false">
      <c r="A70" s="0" t="n">
        <v>7</v>
      </c>
      <c r="B70" s="0" t="s">
        <v>84</v>
      </c>
      <c r="C70" s="0" t="s">
        <v>80</v>
      </c>
      <c r="D70" s="0" t="s">
        <v>20</v>
      </c>
      <c r="E70" s="0" t="s">
        <v>42</v>
      </c>
      <c r="F70" s="0" t="s">
        <v>39</v>
      </c>
      <c r="G70" s="0" t="n">
        <v>4</v>
      </c>
      <c r="H70" s="8" t="n">
        <v>229</v>
      </c>
      <c r="I70" s="8" t="n">
        <f aca="false">G70*H70</f>
        <v>916</v>
      </c>
    </row>
    <row r="71" customFormat="false" ht="15" hidden="false" customHeight="false" outlineLevel="0" collapsed="false">
      <c r="A71" s="0" t="n">
        <v>7</v>
      </c>
      <c r="B71" s="0" t="s">
        <v>84</v>
      </c>
      <c r="C71" s="0" t="s">
        <v>80</v>
      </c>
      <c r="D71" s="0" t="s">
        <v>20</v>
      </c>
      <c r="E71" s="0" t="s">
        <v>53</v>
      </c>
      <c r="F71" s="0" t="s">
        <v>22</v>
      </c>
      <c r="G71" s="0" t="n">
        <v>3</v>
      </c>
      <c r="H71" s="8" t="n">
        <v>7499</v>
      </c>
      <c r="I71" s="8" t="n">
        <f aca="false">G71*H71</f>
        <v>22497</v>
      </c>
    </row>
    <row r="72" customFormat="false" ht="15" hidden="false" customHeight="false" outlineLevel="0" collapsed="false">
      <c r="A72" s="0" t="n">
        <v>7</v>
      </c>
      <c r="B72" s="0" t="s">
        <v>84</v>
      </c>
      <c r="C72" s="0" t="s">
        <v>80</v>
      </c>
      <c r="D72" s="0" t="s">
        <v>20</v>
      </c>
      <c r="E72" s="0" t="s">
        <v>38</v>
      </c>
      <c r="F72" s="0" t="s">
        <v>39</v>
      </c>
      <c r="G72" s="0" t="n">
        <v>12</v>
      </c>
      <c r="H72" s="8" t="n">
        <v>249</v>
      </c>
      <c r="I72" s="8" t="n">
        <f aca="false">G72*H72</f>
        <v>2988</v>
      </c>
    </row>
    <row r="73" customFormat="false" ht="15" hidden="false" customHeight="false" outlineLevel="0" collapsed="false">
      <c r="A73" s="0" t="n">
        <v>34</v>
      </c>
      <c r="B73" s="0" t="s">
        <v>85</v>
      </c>
      <c r="C73" s="0" t="s">
        <v>80</v>
      </c>
      <c r="D73" s="0" t="s">
        <v>74</v>
      </c>
      <c r="E73" s="0" t="s">
        <v>53</v>
      </c>
      <c r="F73" s="0" t="s">
        <v>22</v>
      </c>
      <c r="G73" s="0" t="n">
        <v>5</v>
      </c>
      <c r="H73" s="8" t="n">
        <v>7499</v>
      </c>
      <c r="I73" s="8" t="n">
        <f aca="false">G73*H73</f>
        <v>37495</v>
      </c>
    </row>
    <row r="74" customFormat="false" ht="15" hidden="false" customHeight="false" outlineLevel="0" collapsed="false">
      <c r="A74" s="0" t="n">
        <v>34</v>
      </c>
      <c r="B74" s="0" t="s">
        <v>85</v>
      </c>
      <c r="C74" s="0" t="s">
        <v>80</v>
      </c>
      <c r="D74" s="0" t="s">
        <v>74</v>
      </c>
      <c r="E74" s="0" t="s">
        <v>60</v>
      </c>
      <c r="F74" s="0" t="s">
        <v>39</v>
      </c>
      <c r="G74" s="0" t="n">
        <v>9</v>
      </c>
      <c r="H74" s="8" t="n">
        <v>320</v>
      </c>
      <c r="I74" s="8" t="n">
        <f aca="false">G74*H74</f>
        <v>2880</v>
      </c>
    </row>
    <row r="75" customFormat="false" ht="15" hidden="false" customHeight="false" outlineLevel="0" collapsed="false">
      <c r="A75" s="0" t="n">
        <v>58</v>
      </c>
      <c r="B75" s="0" t="s">
        <v>86</v>
      </c>
      <c r="C75" s="0" t="s">
        <v>80</v>
      </c>
      <c r="D75" s="0" t="s">
        <v>74</v>
      </c>
      <c r="E75" s="0" t="s">
        <v>66</v>
      </c>
      <c r="F75" s="0" t="s">
        <v>32</v>
      </c>
      <c r="G75" s="0" t="n">
        <v>3</v>
      </c>
      <c r="H75" s="8" t="n">
        <v>7999</v>
      </c>
      <c r="I75" s="8" t="n">
        <f aca="false">G75*H75</f>
        <v>23997</v>
      </c>
    </row>
    <row r="76" customFormat="false" ht="15" hidden="false" customHeight="false" outlineLevel="0" collapsed="false">
      <c r="A76" s="0" t="n">
        <v>58</v>
      </c>
      <c r="B76" s="0" t="s">
        <v>86</v>
      </c>
      <c r="C76" s="0" t="s">
        <v>80</v>
      </c>
      <c r="D76" s="0" t="s">
        <v>74</v>
      </c>
      <c r="E76" s="0" t="s">
        <v>23</v>
      </c>
      <c r="F76" s="0" t="s">
        <v>22</v>
      </c>
      <c r="G76" s="0" t="n">
        <v>1</v>
      </c>
      <c r="H76" s="8" t="n">
        <v>999</v>
      </c>
      <c r="I76" s="8" t="n">
        <f aca="false">G76*H76</f>
        <v>999</v>
      </c>
    </row>
    <row r="77" customFormat="false" ht="15" hidden="false" customHeight="false" outlineLevel="0" collapsed="false">
      <c r="A77" s="0" t="n">
        <v>58</v>
      </c>
      <c r="B77" s="0" t="s">
        <v>86</v>
      </c>
      <c r="C77" s="0" t="s">
        <v>80</v>
      </c>
      <c r="D77" s="0" t="s">
        <v>74</v>
      </c>
      <c r="E77" s="0" t="s">
        <v>62</v>
      </c>
      <c r="F77" s="0" t="s">
        <v>39</v>
      </c>
      <c r="G77" s="0" t="n">
        <v>3</v>
      </c>
      <c r="H77" s="8" t="n">
        <v>299</v>
      </c>
      <c r="I77" s="8" t="n">
        <f aca="false">G77*H77</f>
        <v>897</v>
      </c>
    </row>
    <row r="78" customFormat="false" ht="15" hidden="false" customHeight="false" outlineLevel="0" collapsed="false">
      <c r="A78" s="0" t="n">
        <v>45</v>
      </c>
      <c r="B78" s="0" t="s">
        <v>87</v>
      </c>
      <c r="C78" s="0" t="s">
        <v>80</v>
      </c>
      <c r="D78" s="0" t="s">
        <v>41</v>
      </c>
      <c r="E78" s="0" t="s">
        <v>62</v>
      </c>
      <c r="F78" s="0" t="s">
        <v>39</v>
      </c>
      <c r="G78" s="0" t="n">
        <v>8</v>
      </c>
      <c r="H78" s="8" t="n">
        <v>299</v>
      </c>
      <c r="I78" s="8" t="n">
        <f aca="false">G78*H78</f>
        <v>2392</v>
      </c>
    </row>
    <row r="79" customFormat="false" ht="15" hidden="false" customHeight="false" outlineLevel="0" collapsed="false">
      <c r="A79" s="0" t="n">
        <v>25</v>
      </c>
      <c r="B79" s="0" t="s">
        <v>88</v>
      </c>
      <c r="C79" s="0" t="s">
        <v>80</v>
      </c>
      <c r="D79" s="0" t="s">
        <v>24</v>
      </c>
      <c r="E79" s="0" t="s">
        <v>45</v>
      </c>
      <c r="F79" s="0" t="s">
        <v>32</v>
      </c>
      <c r="G79" s="0" t="n">
        <v>4</v>
      </c>
      <c r="H79" s="8" t="n">
        <v>9499</v>
      </c>
      <c r="I79" s="8" t="n">
        <f aca="false">G79*H79</f>
        <v>37996</v>
      </c>
    </row>
    <row r="80" customFormat="false" ht="15" hidden="false" customHeight="false" outlineLevel="0" collapsed="false">
      <c r="A80" s="0" t="n">
        <v>25</v>
      </c>
      <c r="B80" s="0" t="s">
        <v>88</v>
      </c>
      <c r="C80" s="0" t="s">
        <v>80</v>
      </c>
      <c r="D80" s="0" t="s">
        <v>24</v>
      </c>
      <c r="E80" s="0" t="s">
        <v>66</v>
      </c>
      <c r="F80" s="0" t="s">
        <v>32</v>
      </c>
      <c r="G80" s="0" t="n">
        <v>2</v>
      </c>
      <c r="H80" s="8" t="n">
        <v>7999</v>
      </c>
      <c r="I80" s="8" t="n">
        <f aca="false">G80*H80</f>
        <v>15998</v>
      </c>
    </row>
    <row r="81" customFormat="false" ht="15" hidden="false" customHeight="false" outlineLevel="0" collapsed="false">
      <c r="A81" s="0" t="n">
        <v>25</v>
      </c>
      <c r="B81" s="0" t="s">
        <v>88</v>
      </c>
      <c r="C81" s="0" t="s">
        <v>80</v>
      </c>
      <c r="D81" s="0" t="s">
        <v>24</v>
      </c>
      <c r="E81" s="0" t="s">
        <v>40</v>
      </c>
      <c r="F81" s="0" t="s">
        <v>22</v>
      </c>
      <c r="G81" s="0" t="n">
        <v>4</v>
      </c>
      <c r="H81" s="8" t="n">
        <v>749</v>
      </c>
      <c r="I81" s="8" t="n">
        <f aca="false">G81*H81</f>
        <v>2996</v>
      </c>
    </row>
    <row r="82" customFormat="false" ht="15" hidden="false" customHeight="false" outlineLevel="0" collapsed="false">
      <c r="A82" s="0" t="n">
        <v>46</v>
      </c>
      <c r="B82" s="0" t="s">
        <v>88</v>
      </c>
      <c r="C82" s="0" t="s">
        <v>80</v>
      </c>
      <c r="D82" s="0" t="s">
        <v>36</v>
      </c>
      <c r="E82" s="0" t="s">
        <v>33</v>
      </c>
      <c r="F82" s="0" t="s">
        <v>34</v>
      </c>
      <c r="G82" s="0" t="n">
        <v>4</v>
      </c>
      <c r="H82" s="8" t="n">
        <v>1099</v>
      </c>
      <c r="I82" s="8" t="n">
        <f aca="false">G82*H82</f>
        <v>4396</v>
      </c>
    </row>
    <row r="83" customFormat="false" ht="15" hidden="false" customHeight="false" outlineLevel="0" collapsed="false">
      <c r="A83" s="0" t="n">
        <v>46</v>
      </c>
      <c r="B83" s="0" t="s">
        <v>88</v>
      </c>
      <c r="C83" s="0" t="s">
        <v>80</v>
      </c>
      <c r="D83" s="0" t="s">
        <v>36</v>
      </c>
      <c r="E83" s="0" t="s">
        <v>62</v>
      </c>
      <c r="F83" s="0" t="s">
        <v>39</v>
      </c>
      <c r="G83" s="0" t="n">
        <v>6</v>
      </c>
      <c r="H83" s="8" t="n">
        <v>299</v>
      </c>
      <c r="I83" s="8" t="n">
        <f aca="false">G83*H83</f>
        <v>1794</v>
      </c>
    </row>
    <row r="84" customFormat="false" ht="15" hidden="false" customHeight="false" outlineLevel="0" collapsed="false">
      <c r="A84" s="0" t="n">
        <v>46</v>
      </c>
      <c r="B84" s="0" t="s">
        <v>88</v>
      </c>
      <c r="C84" s="0" t="s">
        <v>80</v>
      </c>
      <c r="D84" s="0" t="s">
        <v>36</v>
      </c>
      <c r="E84" s="0" t="s">
        <v>60</v>
      </c>
      <c r="F84" s="0" t="s">
        <v>39</v>
      </c>
      <c r="G84" s="0" t="n">
        <v>6</v>
      </c>
      <c r="H84" s="8" t="n">
        <v>320</v>
      </c>
      <c r="I84" s="8" t="n">
        <f aca="false">G84*H84</f>
        <v>1920</v>
      </c>
    </row>
    <row r="85" customFormat="false" ht="15" hidden="false" customHeight="false" outlineLevel="0" collapsed="false">
      <c r="A85" s="0" t="n">
        <v>46</v>
      </c>
      <c r="B85" s="0" t="s">
        <v>88</v>
      </c>
      <c r="C85" s="0" t="s">
        <v>80</v>
      </c>
      <c r="D85" s="0" t="s">
        <v>36</v>
      </c>
      <c r="E85" s="0" t="s">
        <v>57</v>
      </c>
      <c r="F85" s="0" t="s">
        <v>39</v>
      </c>
      <c r="G85" s="0" t="n">
        <v>2</v>
      </c>
      <c r="H85" s="8" t="n">
        <v>199</v>
      </c>
      <c r="I85" s="8" t="n">
        <f aca="false">G85*H85</f>
        <v>398</v>
      </c>
    </row>
    <row r="86" customFormat="false" ht="15" hidden="false" customHeight="false" outlineLevel="0" collapsed="false">
      <c r="A86" s="0" t="n">
        <v>67</v>
      </c>
      <c r="B86" s="0" t="s">
        <v>89</v>
      </c>
      <c r="C86" s="0" t="s">
        <v>80</v>
      </c>
      <c r="D86" s="0" t="s">
        <v>64</v>
      </c>
      <c r="E86" s="0" t="s">
        <v>23</v>
      </c>
      <c r="F86" s="0" t="s">
        <v>22</v>
      </c>
      <c r="G86" s="0" t="n">
        <v>11</v>
      </c>
      <c r="H86" s="8" t="n">
        <v>999</v>
      </c>
      <c r="I86" s="8" t="n">
        <f aca="false">G86*H86</f>
        <v>10989</v>
      </c>
    </row>
    <row r="87" customFormat="false" ht="15" hidden="false" customHeight="false" outlineLevel="0" collapsed="false">
      <c r="A87" s="0" t="n">
        <v>54</v>
      </c>
      <c r="B87" s="0" t="s">
        <v>90</v>
      </c>
      <c r="C87" s="0" t="s">
        <v>91</v>
      </c>
      <c r="D87" s="0" t="s">
        <v>29</v>
      </c>
      <c r="E87" s="0" t="s">
        <v>31</v>
      </c>
      <c r="F87" s="0" t="s">
        <v>32</v>
      </c>
      <c r="G87" s="0" t="n">
        <v>2</v>
      </c>
      <c r="H87" s="8" t="n">
        <v>5499</v>
      </c>
      <c r="I87" s="8" t="n">
        <f aca="false">G87*H87</f>
        <v>10998</v>
      </c>
    </row>
    <row r="88" customFormat="false" ht="15" hidden="false" customHeight="false" outlineLevel="0" collapsed="false">
      <c r="A88" s="0" t="n">
        <v>54</v>
      </c>
      <c r="B88" s="0" t="s">
        <v>90</v>
      </c>
      <c r="C88" s="0" t="s">
        <v>91</v>
      </c>
      <c r="D88" s="0" t="s">
        <v>29</v>
      </c>
      <c r="E88" s="0" t="s">
        <v>58</v>
      </c>
      <c r="F88" s="0" t="s">
        <v>22</v>
      </c>
      <c r="G88" s="0" t="n">
        <v>4</v>
      </c>
      <c r="H88" s="8" t="n">
        <v>2799</v>
      </c>
      <c r="I88" s="8" t="n">
        <f aca="false">G88*H88</f>
        <v>11196</v>
      </c>
    </row>
    <row r="89" customFormat="false" ht="15" hidden="false" customHeight="false" outlineLevel="0" collapsed="false">
      <c r="A89" s="0" t="n">
        <v>3</v>
      </c>
      <c r="B89" s="0" t="s">
        <v>92</v>
      </c>
      <c r="C89" s="0" t="s">
        <v>91</v>
      </c>
      <c r="D89" s="0" t="s">
        <v>69</v>
      </c>
      <c r="E89" s="0" t="s">
        <v>58</v>
      </c>
      <c r="F89" s="0" t="s">
        <v>22</v>
      </c>
      <c r="G89" s="0" t="n">
        <v>11</v>
      </c>
      <c r="H89" s="8" t="n">
        <v>2799</v>
      </c>
      <c r="I89" s="8" t="n">
        <f aca="false">G89*H89</f>
        <v>30789</v>
      </c>
    </row>
    <row r="90" customFormat="false" ht="15" hidden="false" customHeight="false" outlineLevel="0" collapsed="false">
      <c r="A90" s="0" t="n">
        <v>3</v>
      </c>
      <c r="B90" s="0" t="s">
        <v>92</v>
      </c>
      <c r="C90" s="0" t="s">
        <v>91</v>
      </c>
      <c r="D90" s="0" t="s">
        <v>69</v>
      </c>
      <c r="E90" s="0" t="s">
        <v>53</v>
      </c>
      <c r="F90" s="0" t="s">
        <v>22</v>
      </c>
      <c r="G90" s="0" t="n">
        <v>11</v>
      </c>
      <c r="H90" s="8" t="n">
        <v>7499</v>
      </c>
      <c r="I90" s="8" t="n">
        <f aca="false">G90*H90</f>
        <v>82489</v>
      </c>
    </row>
    <row r="91" customFormat="false" ht="15" hidden="false" customHeight="false" outlineLevel="0" collapsed="false">
      <c r="A91" s="0" t="n">
        <v>3</v>
      </c>
      <c r="B91" s="0" t="s">
        <v>92</v>
      </c>
      <c r="C91" s="0" t="s">
        <v>91</v>
      </c>
      <c r="D91" s="0" t="s">
        <v>69</v>
      </c>
      <c r="E91" s="0" t="s">
        <v>48</v>
      </c>
      <c r="F91" s="0" t="s">
        <v>22</v>
      </c>
      <c r="G91" s="0" t="n">
        <v>10</v>
      </c>
      <c r="H91" s="8" t="n">
        <v>13999</v>
      </c>
      <c r="I91" s="8" t="n">
        <f aca="false">G91*H91</f>
        <v>139990</v>
      </c>
    </row>
    <row r="92" customFormat="false" ht="15" hidden="false" customHeight="false" outlineLevel="0" collapsed="false">
      <c r="A92" s="0" t="n">
        <v>3</v>
      </c>
      <c r="B92" s="0" t="s">
        <v>92</v>
      </c>
      <c r="C92" s="0" t="s">
        <v>91</v>
      </c>
      <c r="D92" s="0" t="s">
        <v>69</v>
      </c>
      <c r="E92" s="0" t="s">
        <v>45</v>
      </c>
      <c r="F92" s="0" t="s">
        <v>32</v>
      </c>
      <c r="G92" s="0" t="n">
        <v>1</v>
      </c>
      <c r="H92" s="8" t="n">
        <v>9499</v>
      </c>
      <c r="I92" s="8" t="n">
        <f aca="false">G92*H92</f>
        <v>9499</v>
      </c>
    </row>
    <row r="93" customFormat="false" ht="15" hidden="false" customHeight="false" outlineLevel="0" collapsed="false">
      <c r="A93" s="0" t="n">
        <v>8</v>
      </c>
      <c r="B93" s="0" t="s">
        <v>93</v>
      </c>
      <c r="C93" s="0" t="s">
        <v>91</v>
      </c>
      <c r="D93" s="0" t="s">
        <v>24</v>
      </c>
      <c r="E93" s="0" t="s">
        <v>33</v>
      </c>
      <c r="F93" s="0" t="s">
        <v>34</v>
      </c>
      <c r="G93" s="0" t="n">
        <v>12</v>
      </c>
      <c r="H93" s="8" t="n">
        <v>1099</v>
      </c>
      <c r="I93" s="8" t="n">
        <f aca="false">G93*H93</f>
        <v>13188</v>
      </c>
    </row>
    <row r="94" customFormat="false" ht="15" hidden="false" customHeight="false" outlineLevel="0" collapsed="false">
      <c r="A94" s="0" t="n">
        <v>8</v>
      </c>
      <c r="B94" s="0" t="s">
        <v>93</v>
      </c>
      <c r="C94" s="0" t="s">
        <v>91</v>
      </c>
      <c r="D94" s="0" t="s">
        <v>24</v>
      </c>
      <c r="E94" s="0" t="s">
        <v>37</v>
      </c>
      <c r="F94" s="0" t="s">
        <v>34</v>
      </c>
      <c r="G94" s="0" t="n">
        <v>8</v>
      </c>
      <c r="H94" s="8" t="n">
        <v>3499</v>
      </c>
      <c r="I94" s="8" t="n">
        <f aca="false">G94*H94</f>
        <v>27992</v>
      </c>
    </row>
    <row r="95" customFormat="false" ht="15" hidden="false" customHeight="false" outlineLevel="0" collapsed="false">
      <c r="A95" s="0" t="n">
        <v>8</v>
      </c>
      <c r="B95" s="0" t="s">
        <v>93</v>
      </c>
      <c r="C95" s="0" t="s">
        <v>91</v>
      </c>
      <c r="D95" s="0" t="s">
        <v>24</v>
      </c>
      <c r="E95" s="0" t="s">
        <v>60</v>
      </c>
      <c r="F95" s="0" t="s">
        <v>39</v>
      </c>
      <c r="G95" s="0" t="n">
        <v>5</v>
      </c>
      <c r="H95" s="8" t="n">
        <v>320</v>
      </c>
      <c r="I95" s="8" t="n">
        <f aca="false">G95*H95</f>
        <v>1600</v>
      </c>
    </row>
    <row r="96" customFormat="false" ht="15" hidden="false" customHeight="false" outlineLevel="0" collapsed="false">
      <c r="A96" s="0" t="n">
        <v>39</v>
      </c>
      <c r="B96" s="0" t="s">
        <v>94</v>
      </c>
      <c r="C96" s="0" t="s">
        <v>91</v>
      </c>
      <c r="D96" s="0" t="s">
        <v>56</v>
      </c>
      <c r="E96" s="0" t="s">
        <v>48</v>
      </c>
      <c r="F96" s="0" t="s">
        <v>22</v>
      </c>
      <c r="G96" s="0" t="n">
        <v>9</v>
      </c>
      <c r="H96" s="8" t="n">
        <v>13999</v>
      </c>
      <c r="I96" s="8" t="n">
        <f aca="false">G96*H96</f>
        <v>125991</v>
      </c>
    </row>
    <row r="97" customFormat="false" ht="15" hidden="false" customHeight="false" outlineLevel="0" collapsed="false">
      <c r="A97" s="0" t="n">
        <v>61</v>
      </c>
      <c r="B97" s="0" t="s">
        <v>95</v>
      </c>
      <c r="C97" s="0" t="s">
        <v>91</v>
      </c>
      <c r="D97" s="0" t="s">
        <v>56</v>
      </c>
      <c r="E97" s="0" t="s">
        <v>47</v>
      </c>
      <c r="F97" s="0" t="s">
        <v>34</v>
      </c>
      <c r="G97" s="0" t="n">
        <v>1</v>
      </c>
      <c r="H97" s="8" t="n">
        <v>499</v>
      </c>
      <c r="I97" s="8" t="n">
        <f aca="false">G97*H97</f>
        <v>499</v>
      </c>
    </row>
    <row r="98" customFormat="false" ht="15" hidden="false" customHeight="false" outlineLevel="0" collapsed="false">
      <c r="A98" s="0" t="n">
        <v>61</v>
      </c>
      <c r="B98" s="0" t="s">
        <v>95</v>
      </c>
      <c r="C98" s="0" t="s">
        <v>91</v>
      </c>
      <c r="D98" s="0" t="s">
        <v>56</v>
      </c>
      <c r="E98" s="0" t="s">
        <v>60</v>
      </c>
      <c r="F98" s="0" t="s">
        <v>39</v>
      </c>
      <c r="G98" s="0" t="n">
        <v>5</v>
      </c>
      <c r="H98" s="8" t="n">
        <v>320</v>
      </c>
      <c r="I98" s="8" t="n">
        <f aca="false">G98*H98</f>
        <v>1600</v>
      </c>
    </row>
    <row r="99" customFormat="false" ht="15" hidden="false" customHeight="false" outlineLevel="0" collapsed="false">
      <c r="A99" s="0" t="n">
        <v>61</v>
      </c>
      <c r="B99" s="0" t="s">
        <v>95</v>
      </c>
      <c r="C99" s="0" t="s">
        <v>91</v>
      </c>
      <c r="D99" s="0" t="s">
        <v>56</v>
      </c>
      <c r="E99" s="0" t="s">
        <v>45</v>
      </c>
      <c r="F99" s="0" t="s">
        <v>32</v>
      </c>
      <c r="G99" s="0" t="n">
        <v>2</v>
      </c>
      <c r="H99" s="8" t="n">
        <v>9499</v>
      </c>
      <c r="I99" s="8" t="n">
        <f aca="false">G99*H99</f>
        <v>18998</v>
      </c>
    </row>
    <row r="100" customFormat="false" ht="15" hidden="false" customHeight="false" outlineLevel="0" collapsed="false">
      <c r="A100" s="0" t="n">
        <v>53</v>
      </c>
      <c r="B100" s="0" t="s">
        <v>96</v>
      </c>
      <c r="C100" s="0" t="s">
        <v>91</v>
      </c>
      <c r="D100" s="0" t="s">
        <v>69</v>
      </c>
      <c r="E100" s="0" t="s">
        <v>27</v>
      </c>
      <c r="F100" s="0" t="s">
        <v>22</v>
      </c>
      <c r="G100" s="0" t="n">
        <v>5</v>
      </c>
      <c r="H100" s="8" t="n">
        <v>599</v>
      </c>
      <c r="I100" s="8" t="n">
        <f aca="false">G100*H100</f>
        <v>2995</v>
      </c>
    </row>
    <row r="101" customFormat="false" ht="15" hidden="false" customHeight="false" outlineLevel="0" collapsed="false">
      <c r="A101" s="0" t="n">
        <v>53</v>
      </c>
      <c r="B101" s="0" t="s">
        <v>96</v>
      </c>
      <c r="C101" s="0" t="s">
        <v>91</v>
      </c>
      <c r="D101" s="0" t="s">
        <v>69</v>
      </c>
      <c r="E101" s="0" t="s">
        <v>60</v>
      </c>
      <c r="F101" s="0" t="s">
        <v>39</v>
      </c>
      <c r="G101" s="0" t="n">
        <v>10</v>
      </c>
      <c r="H101" s="8" t="n">
        <v>320</v>
      </c>
      <c r="I101" s="8" t="n">
        <f aca="false">G101*H101</f>
        <v>3200</v>
      </c>
    </row>
    <row r="102" customFormat="false" ht="15" hidden="false" customHeight="false" outlineLevel="0" collapsed="false">
      <c r="A102" s="0" t="n">
        <v>53</v>
      </c>
      <c r="B102" s="0" t="s">
        <v>96</v>
      </c>
      <c r="C102" s="0" t="s">
        <v>91</v>
      </c>
      <c r="D102" s="0" t="s">
        <v>69</v>
      </c>
      <c r="E102" s="0" t="s">
        <v>47</v>
      </c>
      <c r="F102" s="0" t="s">
        <v>34</v>
      </c>
      <c r="G102" s="0" t="n">
        <v>3</v>
      </c>
      <c r="H102" s="8" t="n">
        <v>499</v>
      </c>
      <c r="I102" s="8" t="n">
        <f aca="false">G102*H102</f>
        <v>1497</v>
      </c>
    </row>
    <row r="103" customFormat="false" ht="15" hidden="false" customHeight="false" outlineLevel="0" collapsed="false">
      <c r="A103" s="0" t="n">
        <v>53</v>
      </c>
      <c r="B103" s="0" t="s">
        <v>96</v>
      </c>
      <c r="C103" s="0" t="s">
        <v>91</v>
      </c>
      <c r="D103" s="0" t="s">
        <v>69</v>
      </c>
      <c r="E103" s="0" t="s">
        <v>57</v>
      </c>
      <c r="F103" s="0" t="s">
        <v>39</v>
      </c>
      <c r="G103" s="0" t="n">
        <v>1</v>
      </c>
      <c r="H103" s="8" t="n">
        <v>199</v>
      </c>
      <c r="I103" s="8" t="n">
        <f aca="false">G103*H103</f>
        <v>199</v>
      </c>
    </row>
    <row r="104" customFormat="false" ht="15" hidden="false" customHeight="false" outlineLevel="0" collapsed="false">
      <c r="A104" s="0" t="n">
        <v>60</v>
      </c>
      <c r="B104" s="0" t="s">
        <v>97</v>
      </c>
      <c r="C104" s="0" t="s">
        <v>91</v>
      </c>
      <c r="D104" s="0" t="s">
        <v>29</v>
      </c>
      <c r="E104" s="0" t="s">
        <v>58</v>
      </c>
      <c r="F104" s="0" t="s">
        <v>22</v>
      </c>
      <c r="G104" s="0" t="n">
        <v>3</v>
      </c>
      <c r="H104" s="8" t="n">
        <v>2799</v>
      </c>
      <c r="I104" s="8" t="n">
        <f aca="false">G104*H104</f>
        <v>8397</v>
      </c>
    </row>
    <row r="105" customFormat="false" ht="15" hidden="false" customHeight="false" outlineLevel="0" collapsed="false">
      <c r="A105" s="0" t="n">
        <v>60</v>
      </c>
      <c r="B105" s="0" t="s">
        <v>97</v>
      </c>
      <c r="C105" s="0" t="s">
        <v>91</v>
      </c>
      <c r="D105" s="0" t="s">
        <v>29</v>
      </c>
      <c r="E105" s="0" t="s">
        <v>42</v>
      </c>
      <c r="F105" s="0" t="s">
        <v>39</v>
      </c>
      <c r="G105" s="0" t="n">
        <v>5</v>
      </c>
      <c r="H105" s="8" t="n">
        <v>229</v>
      </c>
      <c r="I105" s="8" t="n">
        <f aca="false">G105*H105</f>
        <v>1145</v>
      </c>
    </row>
    <row r="106" customFormat="false" ht="15" hidden="false" customHeight="false" outlineLevel="0" collapsed="false">
      <c r="A106" s="0" t="n">
        <v>60</v>
      </c>
      <c r="B106" s="0" t="s">
        <v>97</v>
      </c>
      <c r="C106" s="0" t="s">
        <v>91</v>
      </c>
      <c r="D106" s="0" t="s">
        <v>29</v>
      </c>
      <c r="E106" s="0" t="s">
        <v>21</v>
      </c>
      <c r="F106" s="0" t="s">
        <v>22</v>
      </c>
      <c r="G106" s="0" t="n">
        <v>8</v>
      </c>
      <c r="H106" s="8" t="n">
        <v>1899</v>
      </c>
      <c r="I106" s="8" t="n">
        <f aca="false">G106*H106</f>
        <v>15192</v>
      </c>
    </row>
    <row r="107" customFormat="false" ht="15" hidden="false" customHeight="false" outlineLevel="0" collapsed="false">
      <c r="A107" s="0" t="n">
        <v>13</v>
      </c>
      <c r="B107" s="0" t="s">
        <v>98</v>
      </c>
      <c r="C107" s="0" t="s">
        <v>91</v>
      </c>
      <c r="D107" s="0" t="s">
        <v>99</v>
      </c>
      <c r="E107" s="0" t="s">
        <v>62</v>
      </c>
      <c r="F107" s="0" t="s">
        <v>39</v>
      </c>
      <c r="G107" s="0" t="n">
        <v>8</v>
      </c>
      <c r="H107" s="8" t="n">
        <v>299</v>
      </c>
      <c r="I107" s="8" t="n">
        <f aca="false">G107*H107</f>
        <v>2392</v>
      </c>
    </row>
    <row r="108" customFormat="false" ht="15" hidden="false" customHeight="false" outlineLevel="0" collapsed="false">
      <c r="A108" s="0" t="n">
        <v>13</v>
      </c>
      <c r="B108" s="0" t="s">
        <v>98</v>
      </c>
      <c r="C108" s="0" t="s">
        <v>91</v>
      </c>
      <c r="D108" s="0" t="s">
        <v>99</v>
      </c>
      <c r="E108" s="0" t="s">
        <v>40</v>
      </c>
      <c r="F108" s="0" t="s">
        <v>22</v>
      </c>
      <c r="G108" s="0" t="n">
        <v>2</v>
      </c>
      <c r="H108" s="8" t="n">
        <v>749</v>
      </c>
      <c r="I108" s="8" t="n">
        <f aca="false">G108*H108</f>
        <v>1498</v>
      </c>
    </row>
    <row r="109" customFormat="false" ht="15" hidden="false" customHeight="false" outlineLevel="0" collapsed="false">
      <c r="A109" s="0" t="n">
        <v>55</v>
      </c>
      <c r="B109" s="0" t="s">
        <v>100</v>
      </c>
      <c r="C109" s="0" t="s">
        <v>101</v>
      </c>
      <c r="D109" s="0" t="s">
        <v>74</v>
      </c>
      <c r="E109" s="0" t="s">
        <v>44</v>
      </c>
      <c r="F109" s="0" t="s">
        <v>32</v>
      </c>
      <c r="G109" s="0" t="n">
        <v>2</v>
      </c>
      <c r="H109" s="8" t="n">
        <v>2399</v>
      </c>
      <c r="I109" s="8" t="n">
        <f aca="false">G109*H109</f>
        <v>4798</v>
      </c>
    </row>
    <row r="110" customFormat="false" ht="15" hidden="false" customHeight="false" outlineLevel="0" collapsed="false">
      <c r="A110" s="0" t="n">
        <v>55</v>
      </c>
      <c r="B110" s="0" t="s">
        <v>100</v>
      </c>
      <c r="C110" s="0" t="s">
        <v>101</v>
      </c>
      <c r="D110" s="0" t="s">
        <v>74</v>
      </c>
      <c r="E110" s="0" t="s">
        <v>42</v>
      </c>
      <c r="F110" s="0" t="s">
        <v>39</v>
      </c>
      <c r="G110" s="0" t="n">
        <v>5</v>
      </c>
      <c r="H110" s="8" t="n">
        <v>229</v>
      </c>
      <c r="I110" s="8" t="n">
        <f aca="false">G110*H110</f>
        <v>1145</v>
      </c>
    </row>
    <row r="111" customFormat="false" ht="15" hidden="false" customHeight="false" outlineLevel="0" collapsed="false">
      <c r="A111" s="0" t="n">
        <v>10</v>
      </c>
      <c r="B111" s="0" t="s">
        <v>102</v>
      </c>
      <c r="C111" s="0" t="s">
        <v>101</v>
      </c>
      <c r="D111" s="0" t="s">
        <v>24</v>
      </c>
      <c r="E111" s="0" t="s">
        <v>40</v>
      </c>
      <c r="F111" s="0" t="s">
        <v>22</v>
      </c>
      <c r="G111" s="0" t="n">
        <v>2</v>
      </c>
      <c r="H111" s="8" t="n">
        <v>749</v>
      </c>
      <c r="I111" s="8" t="n">
        <f aca="false">G111*H111</f>
        <v>1498</v>
      </c>
    </row>
    <row r="112" customFormat="false" ht="15" hidden="false" customHeight="false" outlineLevel="0" collapsed="false">
      <c r="A112" s="0" t="n">
        <v>10</v>
      </c>
      <c r="B112" s="0" t="s">
        <v>102</v>
      </c>
      <c r="C112" s="0" t="s">
        <v>101</v>
      </c>
      <c r="D112" s="0" t="s">
        <v>24</v>
      </c>
      <c r="E112" s="0" t="s">
        <v>37</v>
      </c>
      <c r="F112" s="0" t="s">
        <v>34</v>
      </c>
      <c r="G112" s="0" t="n">
        <v>2</v>
      </c>
      <c r="H112" s="8" t="n">
        <v>3499</v>
      </c>
      <c r="I112" s="8" t="n">
        <f aca="false">G112*H112</f>
        <v>6998</v>
      </c>
    </row>
    <row r="113" customFormat="false" ht="15" hidden="false" customHeight="false" outlineLevel="0" collapsed="false">
      <c r="A113" s="0" t="n">
        <v>10</v>
      </c>
      <c r="B113" s="0" t="s">
        <v>102</v>
      </c>
      <c r="C113" s="0" t="s">
        <v>101</v>
      </c>
      <c r="D113" s="0" t="s">
        <v>24</v>
      </c>
      <c r="E113" s="0" t="s">
        <v>42</v>
      </c>
      <c r="F113" s="0" t="s">
        <v>39</v>
      </c>
      <c r="G113" s="0" t="n">
        <v>5</v>
      </c>
      <c r="H113" s="8" t="n">
        <v>229</v>
      </c>
      <c r="I113" s="8" t="n">
        <f aca="false">G113*H113</f>
        <v>1145</v>
      </c>
    </row>
    <row r="114" customFormat="false" ht="15" hidden="false" customHeight="false" outlineLevel="0" collapsed="false">
      <c r="A114" s="0" t="n">
        <v>2</v>
      </c>
      <c r="B114" s="0" t="s">
        <v>103</v>
      </c>
      <c r="C114" s="0" t="s">
        <v>104</v>
      </c>
      <c r="D114" s="0" t="s">
        <v>69</v>
      </c>
      <c r="E114" s="0" t="s">
        <v>58</v>
      </c>
      <c r="F114" s="0" t="s">
        <v>22</v>
      </c>
      <c r="G114" s="0" t="n">
        <v>7</v>
      </c>
      <c r="H114" s="8" t="n">
        <v>2799</v>
      </c>
      <c r="I114" s="8" t="n">
        <f aca="false">G114*H114</f>
        <v>19593</v>
      </c>
    </row>
    <row r="115" customFormat="false" ht="15" hidden="false" customHeight="false" outlineLevel="0" collapsed="false">
      <c r="A115" s="0" t="n">
        <v>2</v>
      </c>
      <c r="B115" s="0" t="s">
        <v>103</v>
      </c>
      <c r="C115" s="0" t="s">
        <v>104</v>
      </c>
      <c r="D115" s="0" t="s">
        <v>69</v>
      </c>
      <c r="E115" s="0" t="s">
        <v>30</v>
      </c>
      <c r="F115" s="0" t="s">
        <v>22</v>
      </c>
      <c r="G115" s="0" t="n">
        <v>7</v>
      </c>
      <c r="H115" s="8" t="n">
        <v>1499</v>
      </c>
      <c r="I115" s="8" t="n">
        <f aca="false">G115*H115</f>
        <v>10493</v>
      </c>
    </row>
    <row r="116" customFormat="false" ht="15" hidden="false" customHeight="false" outlineLevel="0" collapsed="false">
      <c r="A116" s="0" t="n">
        <v>17</v>
      </c>
      <c r="B116" s="0" t="s">
        <v>105</v>
      </c>
      <c r="C116" s="0" t="s">
        <v>104</v>
      </c>
      <c r="D116" s="0" t="s">
        <v>51</v>
      </c>
      <c r="E116" s="0" t="s">
        <v>23</v>
      </c>
      <c r="F116" s="0" t="s">
        <v>22</v>
      </c>
      <c r="G116" s="0" t="n">
        <v>8</v>
      </c>
      <c r="H116" s="8" t="n">
        <v>999</v>
      </c>
      <c r="I116" s="8" t="n">
        <f aca="false">G116*H116</f>
        <v>7992</v>
      </c>
    </row>
    <row r="117" customFormat="false" ht="15" hidden="false" customHeight="false" outlineLevel="0" collapsed="false">
      <c r="A117" s="0" t="n">
        <v>17</v>
      </c>
      <c r="B117" s="0" t="s">
        <v>105</v>
      </c>
      <c r="C117" s="0" t="s">
        <v>104</v>
      </c>
      <c r="D117" s="0" t="s">
        <v>51</v>
      </c>
      <c r="E117" s="0" t="s">
        <v>33</v>
      </c>
      <c r="F117" s="0" t="s">
        <v>34</v>
      </c>
      <c r="G117" s="0" t="n">
        <v>11</v>
      </c>
      <c r="H117" s="8" t="n">
        <v>1099</v>
      </c>
      <c r="I117" s="8" t="n">
        <f aca="false">G117*H117</f>
        <v>12089</v>
      </c>
    </row>
    <row r="118" customFormat="false" ht="15" hidden="false" customHeight="false" outlineLevel="0" collapsed="false">
      <c r="A118" s="0" t="n">
        <v>17</v>
      </c>
      <c r="B118" s="0" t="s">
        <v>105</v>
      </c>
      <c r="C118" s="0" t="s">
        <v>104</v>
      </c>
      <c r="D118" s="0" t="s">
        <v>51</v>
      </c>
      <c r="E118" s="0" t="s">
        <v>58</v>
      </c>
      <c r="F118" s="0" t="s">
        <v>22</v>
      </c>
      <c r="G118" s="0" t="n">
        <v>9</v>
      </c>
      <c r="H118" s="8" t="n">
        <v>2799</v>
      </c>
      <c r="I118" s="8" t="n">
        <f aca="false">G118*H118</f>
        <v>25191</v>
      </c>
    </row>
    <row r="119" customFormat="false" ht="15" hidden="false" customHeight="false" outlineLevel="0" collapsed="false">
      <c r="A119" s="0" t="n">
        <v>6</v>
      </c>
      <c r="B119" s="0" t="s">
        <v>106</v>
      </c>
      <c r="C119" s="0" t="s">
        <v>104</v>
      </c>
      <c r="D119" s="0" t="s">
        <v>99</v>
      </c>
      <c r="E119" s="0" t="s">
        <v>53</v>
      </c>
      <c r="F119" s="0" t="s">
        <v>22</v>
      </c>
      <c r="G119" s="0" t="n">
        <v>1</v>
      </c>
      <c r="H119" s="8" t="n">
        <v>7499</v>
      </c>
      <c r="I119" s="8" t="n">
        <f aca="false">G119*H119</f>
        <v>7499</v>
      </c>
    </row>
    <row r="120" customFormat="false" ht="15" hidden="false" customHeight="false" outlineLevel="0" collapsed="false">
      <c r="A120" s="0" t="n">
        <v>15</v>
      </c>
      <c r="B120" s="0" t="s">
        <v>107</v>
      </c>
      <c r="C120" s="0" t="s">
        <v>104</v>
      </c>
      <c r="D120" s="0" t="s">
        <v>26</v>
      </c>
      <c r="E120" s="0" t="s">
        <v>30</v>
      </c>
      <c r="F120" s="0" t="s">
        <v>22</v>
      </c>
      <c r="G120" s="0" t="n">
        <v>3</v>
      </c>
      <c r="H120" s="8" t="n">
        <v>1499</v>
      </c>
      <c r="I120" s="8" t="n">
        <f aca="false">G120*H120</f>
        <v>4497</v>
      </c>
    </row>
    <row r="121" customFormat="false" ht="15" hidden="false" customHeight="false" outlineLevel="0" collapsed="false">
      <c r="A121" s="0" t="n">
        <v>15</v>
      </c>
      <c r="B121" s="0" t="s">
        <v>107</v>
      </c>
      <c r="C121" s="0" t="s">
        <v>104</v>
      </c>
      <c r="D121" s="0" t="s">
        <v>26</v>
      </c>
      <c r="E121" s="0" t="s">
        <v>21</v>
      </c>
      <c r="F121" s="0" t="s">
        <v>22</v>
      </c>
      <c r="G121" s="0" t="n">
        <v>4</v>
      </c>
      <c r="H121" s="8" t="n">
        <v>1899</v>
      </c>
      <c r="I121" s="8" t="n">
        <f aca="false">G121*H121</f>
        <v>7596</v>
      </c>
    </row>
    <row r="122" customFormat="false" ht="15" hidden="false" customHeight="false" outlineLevel="0" collapsed="false">
      <c r="A122" s="0" t="n">
        <v>18</v>
      </c>
      <c r="B122" s="0" t="s">
        <v>108</v>
      </c>
      <c r="C122" s="0" t="s">
        <v>104</v>
      </c>
      <c r="D122" s="0" t="s">
        <v>51</v>
      </c>
      <c r="E122" s="0" t="s">
        <v>37</v>
      </c>
      <c r="F122" s="0" t="s">
        <v>34</v>
      </c>
      <c r="G122" s="0" t="n">
        <v>11</v>
      </c>
      <c r="H122" s="8" t="n">
        <v>3499</v>
      </c>
      <c r="I122" s="8" t="n">
        <f aca="false">G122*H122</f>
        <v>38489</v>
      </c>
    </row>
    <row r="123" customFormat="false" ht="15" hidden="false" customHeight="false" outlineLevel="0" collapsed="false">
      <c r="A123" s="0" t="n">
        <v>43</v>
      </c>
      <c r="B123" s="0" t="s">
        <v>109</v>
      </c>
      <c r="C123" s="0" t="s">
        <v>110</v>
      </c>
      <c r="D123" s="0" t="s">
        <v>51</v>
      </c>
      <c r="E123" s="0" t="s">
        <v>57</v>
      </c>
      <c r="F123" s="0" t="s">
        <v>39</v>
      </c>
      <c r="G123" s="0" t="n">
        <v>4</v>
      </c>
      <c r="H123" s="8" t="n">
        <v>199</v>
      </c>
      <c r="I123" s="8" t="n">
        <f aca="false">G123*H123</f>
        <v>796</v>
      </c>
    </row>
    <row r="124" customFormat="false" ht="15" hidden="false" customHeight="false" outlineLevel="0" collapsed="false">
      <c r="A124" s="0" t="n">
        <v>43</v>
      </c>
      <c r="B124" s="0" t="s">
        <v>109</v>
      </c>
      <c r="C124" s="0" t="s">
        <v>110</v>
      </c>
      <c r="D124" s="0" t="s">
        <v>51</v>
      </c>
      <c r="E124" s="0" t="s">
        <v>30</v>
      </c>
      <c r="F124" s="0" t="s">
        <v>22</v>
      </c>
      <c r="G124" s="0" t="n">
        <v>11</v>
      </c>
      <c r="H124" s="8" t="n">
        <v>1499</v>
      </c>
      <c r="I124" s="8" t="n">
        <f aca="false">G124*H124</f>
        <v>16489</v>
      </c>
    </row>
    <row r="125" customFormat="false" ht="15" hidden="false" customHeight="false" outlineLevel="0" collapsed="false">
      <c r="A125" s="0" t="n">
        <v>14</v>
      </c>
      <c r="B125" s="0" t="s">
        <v>111</v>
      </c>
      <c r="C125" s="0" t="s">
        <v>110</v>
      </c>
      <c r="D125" s="0" t="s">
        <v>36</v>
      </c>
      <c r="E125" s="0" t="s">
        <v>23</v>
      </c>
      <c r="F125" s="0" t="s">
        <v>22</v>
      </c>
      <c r="G125" s="0" t="n">
        <v>5</v>
      </c>
      <c r="H125" s="8" t="n">
        <v>999</v>
      </c>
      <c r="I125" s="8" t="n">
        <f aca="false">G125*H125</f>
        <v>4995</v>
      </c>
    </row>
    <row r="126" customFormat="false" ht="15" hidden="false" customHeight="false" outlineLevel="0" collapsed="false">
      <c r="A126" s="0" t="n">
        <v>14</v>
      </c>
      <c r="B126" s="0" t="s">
        <v>111</v>
      </c>
      <c r="C126" s="0" t="s">
        <v>110</v>
      </c>
      <c r="D126" s="0" t="s">
        <v>36</v>
      </c>
      <c r="E126" s="0" t="s">
        <v>57</v>
      </c>
      <c r="F126" s="0" t="s">
        <v>39</v>
      </c>
      <c r="G126" s="0" t="n">
        <v>12</v>
      </c>
      <c r="H126" s="8" t="n">
        <v>199</v>
      </c>
      <c r="I126" s="8" t="n">
        <f aca="false">G126*H126</f>
        <v>2388</v>
      </c>
    </row>
    <row r="127" customFormat="false" ht="15" hidden="false" customHeight="false" outlineLevel="0" collapsed="false">
      <c r="A127" s="0" t="n">
        <v>14</v>
      </c>
      <c r="B127" s="0" t="s">
        <v>111</v>
      </c>
      <c r="C127" s="0" t="s">
        <v>110</v>
      </c>
      <c r="D127" s="0" t="s">
        <v>36</v>
      </c>
      <c r="E127" s="0" t="s">
        <v>47</v>
      </c>
      <c r="F127" s="0" t="s">
        <v>34</v>
      </c>
      <c r="G127" s="0" t="n">
        <v>7</v>
      </c>
      <c r="H127" s="8" t="n">
        <v>499</v>
      </c>
      <c r="I127" s="8" t="n">
        <f aca="false">G127*H127</f>
        <v>3493</v>
      </c>
    </row>
    <row r="128" customFormat="false" ht="15" hidden="false" customHeight="false" outlineLevel="0" collapsed="false">
      <c r="A128" s="0" t="n">
        <v>12</v>
      </c>
      <c r="B128" s="0" t="s">
        <v>112</v>
      </c>
      <c r="C128" s="0" t="s">
        <v>110</v>
      </c>
      <c r="D128" s="0" t="s">
        <v>56</v>
      </c>
      <c r="E128" s="0" t="s">
        <v>37</v>
      </c>
      <c r="F128" s="0" t="s">
        <v>34</v>
      </c>
      <c r="G128" s="0" t="n">
        <v>1</v>
      </c>
      <c r="H128" s="8" t="n">
        <v>3499</v>
      </c>
      <c r="I128" s="8" t="n">
        <f aca="false">G128*H128</f>
        <v>3499</v>
      </c>
    </row>
    <row r="129" customFormat="false" ht="15" hidden="false" customHeight="false" outlineLevel="0" collapsed="false">
      <c r="A129" s="0" t="n">
        <v>31</v>
      </c>
      <c r="B129" s="0" t="s">
        <v>113</v>
      </c>
      <c r="C129" s="0" t="s">
        <v>110</v>
      </c>
      <c r="D129" s="0" t="s">
        <v>51</v>
      </c>
      <c r="E129" s="0" t="s">
        <v>21</v>
      </c>
      <c r="F129" s="0" t="s">
        <v>22</v>
      </c>
      <c r="G129" s="0" t="n">
        <v>3</v>
      </c>
      <c r="H129" s="8" t="n">
        <v>1899</v>
      </c>
      <c r="I129" s="8" t="n">
        <f aca="false">G129*H129</f>
        <v>5697</v>
      </c>
    </row>
    <row r="130" customFormat="false" ht="15" hidden="false" customHeight="false" outlineLevel="0" collapsed="false">
      <c r="A130" s="0" t="n">
        <v>28</v>
      </c>
      <c r="B130" s="0" t="s">
        <v>114</v>
      </c>
      <c r="C130" s="0" t="s">
        <v>110</v>
      </c>
      <c r="D130" s="0" t="s">
        <v>99</v>
      </c>
      <c r="E130" s="0" t="s">
        <v>37</v>
      </c>
      <c r="F130" s="0" t="s">
        <v>34</v>
      </c>
      <c r="G130" s="0" t="n">
        <v>8</v>
      </c>
      <c r="H130" s="8" t="n">
        <v>3499</v>
      </c>
      <c r="I130" s="8" t="n">
        <f aca="false">G130*H130</f>
        <v>27992</v>
      </c>
    </row>
    <row r="131" customFormat="false" ht="15" hidden="false" customHeight="false" outlineLevel="0" collapsed="false">
      <c r="A131" s="0" t="n">
        <v>28</v>
      </c>
      <c r="B131" s="0" t="s">
        <v>114</v>
      </c>
      <c r="C131" s="0" t="s">
        <v>110</v>
      </c>
      <c r="D131" s="0" t="s">
        <v>99</v>
      </c>
      <c r="E131" s="0" t="s">
        <v>27</v>
      </c>
      <c r="F131" s="0" t="s">
        <v>22</v>
      </c>
      <c r="G131" s="0" t="n">
        <v>11</v>
      </c>
      <c r="H131" s="8" t="n">
        <v>599</v>
      </c>
      <c r="I131" s="8" t="n">
        <f aca="false">G131*H131</f>
        <v>6589</v>
      </c>
    </row>
    <row r="132" customFormat="false" ht="15" hidden="false" customHeight="false" outlineLevel="0" collapsed="false">
      <c r="A132" s="0" t="n">
        <v>70</v>
      </c>
      <c r="B132" s="0" t="s">
        <v>115</v>
      </c>
      <c r="C132" s="0" t="s">
        <v>110</v>
      </c>
      <c r="D132" s="0" t="s">
        <v>72</v>
      </c>
      <c r="E132" s="0" t="s">
        <v>45</v>
      </c>
      <c r="F132" s="0" t="s">
        <v>32</v>
      </c>
      <c r="G132" s="0" t="n">
        <v>4</v>
      </c>
      <c r="H132" s="8" t="n">
        <v>9499</v>
      </c>
      <c r="I132" s="8" t="n">
        <f aca="false">G132*H132</f>
        <v>37996</v>
      </c>
    </row>
    <row r="133" customFormat="false" ht="15" hidden="false" customHeight="false" outlineLevel="0" collapsed="false">
      <c r="A133" s="0" t="n">
        <v>70</v>
      </c>
      <c r="B133" s="0" t="s">
        <v>115</v>
      </c>
      <c r="C133" s="0" t="s">
        <v>110</v>
      </c>
      <c r="D133" s="0" t="s">
        <v>72</v>
      </c>
      <c r="E133" s="0" t="s">
        <v>66</v>
      </c>
      <c r="F133" s="0" t="s">
        <v>32</v>
      </c>
      <c r="G133" s="0" t="n">
        <v>4</v>
      </c>
      <c r="H133" s="8" t="n">
        <v>7999</v>
      </c>
      <c r="I133" s="8" t="n">
        <f aca="false">G133*H133</f>
        <v>31996</v>
      </c>
    </row>
    <row r="134" customFormat="false" ht="15" hidden="false" customHeight="false" outlineLevel="0" collapsed="false">
      <c r="A134" s="0" t="n">
        <v>70</v>
      </c>
      <c r="B134" s="0" t="s">
        <v>115</v>
      </c>
      <c r="C134" s="0" t="s">
        <v>110</v>
      </c>
      <c r="D134" s="0" t="s">
        <v>72</v>
      </c>
      <c r="E134" s="0" t="s">
        <v>40</v>
      </c>
      <c r="F134" s="0" t="s">
        <v>22</v>
      </c>
      <c r="G134" s="0" t="n">
        <v>7</v>
      </c>
      <c r="H134" s="8" t="n">
        <v>749</v>
      </c>
      <c r="I134" s="8" t="n">
        <f aca="false">G134*H134</f>
        <v>5243</v>
      </c>
    </row>
    <row r="135" customFormat="false" ht="15" hidden="false" customHeight="false" outlineLevel="0" collapsed="false">
      <c r="A135" s="0" t="n">
        <v>22</v>
      </c>
      <c r="B135" s="0" t="s">
        <v>116</v>
      </c>
      <c r="C135" s="0" t="s">
        <v>117</v>
      </c>
      <c r="D135" s="0" t="s">
        <v>41</v>
      </c>
      <c r="E135" s="0" t="s">
        <v>48</v>
      </c>
      <c r="F135" s="0" t="s">
        <v>22</v>
      </c>
      <c r="G135" s="0" t="n">
        <v>12</v>
      </c>
      <c r="H135" s="8" t="n">
        <v>13999</v>
      </c>
      <c r="I135" s="8" t="n">
        <f aca="false">G135*H135</f>
        <v>167988</v>
      </c>
    </row>
    <row r="136" customFormat="false" ht="15" hidden="false" customHeight="false" outlineLevel="0" collapsed="false">
      <c r="A136" s="0" t="n">
        <v>22</v>
      </c>
      <c r="B136" s="0" t="s">
        <v>116</v>
      </c>
      <c r="C136" s="0" t="s">
        <v>117</v>
      </c>
      <c r="D136" s="0" t="s">
        <v>41</v>
      </c>
      <c r="E136" s="0" t="s">
        <v>60</v>
      </c>
      <c r="F136" s="0" t="s">
        <v>39</v>
      </c>
      <c r="G136" s="0" t="n">
        <v>5</v>
      </c>
      <c r="H136" s="8" t="n">
        <v>320</v>
      </c>
      <c r="I136" s="8" t="n">
        <f aca="false">G136*H136</f>
        <v>1600</v>
      </c>
    </row>
    <row r="137" customFormat="false" ht="15" hidden="false" customHeight="false" outlineLevel="0" collapsed="false">
      <c r="A137" s="0" t="n">
        <v>26</v>
      </c>
      <c r="B137" s="0" t="s">
        <v>118</v>
      </c>
      <c r="C137" s="0" t="s">
        <v>117</v>
      </c>
      <c r="D137" s="0" t="s">
        <v>29</v>
      </c>
      <c r="E137" s="0" t="s">
        <v>31</v>
      </c>
      <c r="F137" s="0" t="s">
        <v>32</v>
      </c>
      <c r="G137" s="0" t="n">
        <v>4</v>
      </c>
      <c r="H137" s="8" t="n">
        <v>5499</v>
      </c>
      <c r="I137" s="8" t="n">
        <f aca="false">G137*H137</f>
        <v>21996</v>
      </c>
    </row>
    <row r="138" customFormat="false" ht="15" hidden="false" customHeight="false" outlineLevel="0" collapsed="false">
      <c r="A138" s="0" t="n">
        <v>65</v>
      </c>
      <c r="B138" s="0" t="s">
        <v>119</v>
      </c>
      <c r="C138" s="0" t="s">
        <v>117</v>
      </c>
      <c r="D138" s="0" t="s">
        <v>72</v>
      </c>
      <c r="E138" s="0" t="s">
        <v>58</v>
      </c>
      <c r="F138" s="0" t="s">
        <v>22</v>
      </c>
      <c r="G138" s="0" t="n">
        <v>11</v>
      </c>
      <c r="H138" s="8" t="n">
        <v>2799</v>
      </c>
      <c r="I138" s="8" t="n">
        <f aca="false">G138*H138</f>
        <v>30789</v>
      </c>
    </row>
    <row r="139" customFormat="false" ht="15" hidden="false" customHeight="false" outlineLevel="0" collapsed="false">
      <c r="A139" s="0" t="n">
        <v>65</v>
      </c>
      <c r="B139" s="0" t="s">
        <v>119</v>
      </c>
      <c r="C139" s="0" t="s">
        <v>117</v>
      </c>
      <c r="D139" s="0" t="s">
        <v>72</v>
      </c>
      <c r="E139" s="0" t="s">
        <v>33</v>
      </c>
      <c r="F139" s="0" t="s">
        <v>34</v>
      </c>
      <c r="G139" s="0" t="n">
        <v>7</v>
      </c>
      <c r="H139" s="8" t="n">
        <v>1099</v>
      </c>
      <c r="I139" s="8" t="n">
        <f aca="false">G139*H139</f>
        <v>7693</v>
      </c>
    </row>
    <row r="140" customFormat="false" ht="15" hidden="false" customHeight="false" outlineLevel="0" collapsed="false">
      <c r="A140" s="0" t="n">
        <v>41</v>
      </c>
      <c r="B140" s="0" t="s">
        <v>120</v>
      </c>
      <c r="C140" s="0" t="s">
        <v>117</v>
      </c>
      <c r="D140" s="0" t="s">
        <v>20</v>
      </c>
      <c r="E140" s="0" t="s">
        <v>42</v>
      </c>
      <c r="F140" s="0" t="s">
        <v>39</v>
      </c>
      <c r="G140" s="0" t="n">
        <v>8</v>
      </c>
      <c r="H140" s="8" t="n">
        <v>229</v>
      </c>
      <c r="I140" s="8" t="n">
        <f aca="false">G140*H140</f>
        <v>1832</v>
      </c>
    </row>
    <row r="141" customFormat="false" ht="15" hidden="false" customHeight="false" outlineLevel="0" collapsed="false">
      <c r="A141" s="0" t="n">
        <v>41</v>
      </c>
      <c r="B141" s="0" t="s">
        <v>120</v>
      </c>
      <c r="C141" s="0" t="s">
        <v>117</v>
      </c>
      <c r="D141" s="0" t="s">
        <v>20</v>
      </c>
      <c r="E141" s="0" t="s">
        <v>33</v>
      </c>
      <c r="F141" s="0" t="s">
        <v>34</v>
      </c>
      <c r="G141" s="0" t="n">
        <v>9</v>
      </c>
      <c r="H141" s="8" t="n">
        <v>1099</v>
      </c>
      <c r="I141" s="8" t="n">
        <f aca="false">G141*H141</f>
        <v>9891</v>
      </c>
    </row>
    <row r="142" customFormat="false" ht="15" hidden="false" customHeight="false" outlineLevel="0" collapsed="false">
      <c r="A142" s="0" t="n">
        <v>41</v>
      </c>
      <c r="B142" s="0" t="s">
        <v>120</v>
      </c>
      <c r="C142" s="0" t="s">
        <v>117</v>
      </c>
      <c r="D142" s="0" t="s">
        <v>20</v>
      </c>
      <c r="E142" s="0" t="s">
        <v>47</v>
      </c>
      <c r="F142" s="0" t="s">
        <v>34</v>
      </c>
      <c r="G142" s="0" t="n">
        <v>4</v>
      </c>
      <c r="H142" s="8" t="n">
        <v>499</v>
      </c>
      <c r="I142" s="8" t="n">
        <f aca="false">G142*H142</f>
        <v>1996</v>
      </c>
    </row>
    <row r="143" customFormat="false" ht="15" hidden="false" customHeight="false" outlineLevel="0" collapsed="false">
      <c r="A143" s="0" t="n">
        <v>57</v>
      </c>
      <c r="B143" s="0" t="s">
        <v>120</v>
      </c>
      <c r="C143" s="0" t="s">
        <v>117</v>
      </c>
      <c r="D143" s="0" t="s">
        <v>72</v>
      </c>
      <c r="E143" s="0" t="s">
        <v>45</v>
      </c>
      <c r="F143" s="0" t="s">
        <v>32</v>
      </c>
      <c r="G143" s="0" t="n">
        <v>4</v>
      </c>
      <c r="H143" s="8" t="n">
        <v>9499</v>
      </c>
      <c r="I143" s="8" t="n">
        <f aca="false">G143*H143</f>
        <v>37996</v>
      </c>
    </row>
    <row r="144" customFormat="false" ht="15" hidden="false" customHeight="false" outlineLevel="0" collapsed="false">
      <c r="A144" s="0" t="n">
        <v>57</v>
      </c>
      <c r="B144" s="0" t="s">
        <v>120</v>
      </c>
      <c r="C144" s="0" t="s">
        <v>117</v>
      </c>
      <c r="D144" s="0" t="s">
        <v>72</v>
      </c>
      <c r="E144" s="0" t="s">
        <v>42</v>
      </c>
      <c r="F144" s="0" t="s">
        <v>39</v>
      </c>
      <c r="G144" s="0" t="n">
        <v>9</v>
      </c>
      <c r="H144" s="8" t="n">
        <v>229</v>
      </c>
      <c r="I144" s="8" t="n">
        <f aca="false">G144*H144</f>
        <v>2061</v>
      </c>
    </row>
    <row r="145" customFormat="false" ht="15" hidden="false" customHeight="false" outlineLevel="0" collapsed="false">
      <c r="A145" s="0" t="n">
        <v>57</v>
      </c>
      <c r="B145" s="0" t="s">
        <v>120</v>
      </c>
      <c r="C145" s="0" t="s">
        <v>117</v>
      </c>
      <c r="D145" s="0" t="s">
        <v>72</v>
      </c>
      <c r="E145" s="0" t="s">
        <v>48</v>
      </c>
      <c r="F145" s="0" t="s">
        <v>22</v>
      </c>
      <c r="G145" s="0" t="n">
        <v>7</v>
      </c>
      <c r="H145" s="8" t="n">
        <v>13999</v>
      </c>
      <c r="I145" s="8" t="n">
        <f aca="false">G145*H145</f>
        <v>97993</v>
      </c>
    </row>
    <row r="146" customFormat="false" ht="15" hidden="false" customHeight="false" outlineLevel="0" collapsed="false">
      <c r="A146" s="0" t="n">
        <v>57</v>
      </c>
      <c r="B146" s="0" t="s">
        <v>120</v>
      </c>
      <c r="C146" s="0" t="s">
        <v>117</v>
      </c>
      <c r="D146" s="0" t="s">
        <v>72</v>
      </c>
      <c r="E146" s="0" t="s">
        <v>57</v>
      </c>
      <c r="F146" s="0" t="s">
        <v>39</v>
      </c>
      <c r="G146" s="0" t="n">
        <v>9</v>
      </c>
      <c r="H146" s="8" t="n">
        <v>199</v>
      </c>
      <c r="I146" s="8" t="n">
        <f aca="false">G146*H146</f>
        <v>1791</v>
      </c>
    </row>
    <row r="147" customFormat="false" ht="15" hidden="false" customHeight="false" outlineLevel="0" collapsed="false">
      <c r="A147" s="0" t="n">
        <v>66</v>
      </c>
      <c r="B147" s="0" t="s">
        <v>120</v>
      </c>
      <c r="C147" s="0" t="s">
        <v>117</v>
      </c>
      <c r="D147" s="0" t="s">
        <v>72</v>
      </c>
      <c r="E147" s="0" t="s">
        <v>53</v>
      </c>
      <c r="F147" s="0" t="s">
        <v>22</v>
      </c>
      <c r="G147" s="0" t="n">
        <v>12</v>
      </c>
      <c r="H147" s="8" t="n">
        <v>7499</v>
      </c>
      <c r="I147" s="8" t="n">
        <f aca="false">G147*H147</f>
        <v>89988</v>
      </c>
    </row>
    <row r="148" customFormat="false" ht="15" hidden="false" customHeight="false" outlineLevel="0" collapsed="false">
      <c r="A148" s="0" t="n">
        <v>50</v>
      </c>
      <c r="B148" s="0" t="s">
        <v>121</v>
      </c>
      <c r="C148" s="0" t="s">
        <v>117</v>
      </c>
      <c r="D148" s="0" t="s">
        <v>29</v>
      </c>
      <c r="E148" s="0" t="s">
        <v>31</v>
      </c>
      <c r="F148" s="0" t="s">
        <v>32</v>
      </c>
      <c r="G148" s="0" t="n">
        <v>1</v>
      </c>
      <c r="H148" s="8" t="n">
        <v>5499</v>
      </c>
      <c r="I148" s="8" t="n">
        <f aca="false">G148*H148</f>
        <v>5499</v>
      </c>
    </row>
    <row r="149" customFormat="false" ht="15" hidden="false" customHeight="false" outlineLevel="0" collapsed="false">
      <c r="A149" s="0" t="n">
        <v>42</v>
      </c>
      <c r="B149" s="0" t="s">
        <v>122</v>
      </c>
      <c r="C149" s="0" t="s">
        <v>117</v>
      </c>
      <c r="D149" s="0" t="s">
        <v>72</v>
      </c>
      <c r="E149" s="0" t="s">
        <v>42</v>
      </c>
      <c r="F149" s="0" t="s">
        <v>39</v>
      </c>
      <c r="G149" s="0" t="n">
        <v>7</v>
      </c>
      <c r="H149" s="8" t="n">
        <v>229</v>
      </c>
      <c r="I149" s="8" t="n">
        <f aca="false">G149*H149</f>
        <v>1603</v>
      </c>
    </row>
    <row r="150" customFormat="false" ht="15" hidden="false" customHeight="false" outlineLevel="0" collapsed="false">
      <c r="A150" s="0" t="n">
        <v>42</v>
      </c>
      <c r="B150" s="0" t="s">
        <v>122</v>
      </c>
      <c r="C150" s="0" t="s">
        <v>117</v>
      </c>
      <c r="D150" s="0" t="s">
        <v>72</v>
      </c>
      <c r="E150" s="0" t="s">
        <v>23</v>
      </c>
      <c r="F150" s="0" t="s">
        <v>22</v>
      </c>
      <c r="G150" s="0" t="n">
        <v>2</v>
      </c>
      <c r="H150" s="8" t="n">
        <v>999</v>
      </c>
      <c r="I150" s="8" t="n">
        <f aca="false">G150*H150</f>
        <v>1998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26.85" hidden="false" customHeight="false" outlineLevel="0" collapsed="false">
      <c r="A1" s="7" t="s">
        <v>123</v>
      </c>
      <c r="B1" s="7" t="s">
        <v>124</v>
      </c>
      <c r="C1" s="7" t="s">
        <v>13</v>
      </c>
      <c r="D1" s="7" t="s">
        <v>125</v>
      </c>
      <c r="E1" s="7" t="s">
        <v>126</v>
      </c>
      <c r="F1" s="7" t="s">
        <v>127</v>
      </c>
      <c r="G1" s="7" t="s">
        <v>128</v>
      </c>
      <c r="H1" s="7" t="s">
        <v>129</v>
      </c>
      <c r="I1" s="7" t="s">
        <v>130</v>
      </c>
    </row>
    <row r="2" customFormat="false" ht="15" hidden="false" customHeight="false" outlineLevel="0" collapsed="false">
      <c r="A2" s="0" t="n">
        <v>1</v>
      </c>
      <c r="B2" s="0" t="s">
        <v>131</v>
      </c>
      <c r="C2" s="0" t="s">
        <v>27</v>
      </c>
      <c r="D2" s="0" t="s">
        <v>132</v>
      </c>
      <c r="E2" s="0" t="n">
        <v>120</v>
      </c>
      <c r="F2" s="0" t="n">
        <v>30</v>
      </c>
      <c r="G2" s="8" t="n">
        <v>350</v>
      </c>
      <c r="H2" s="8" t="n">
        <f aca="false">E2*G2</f>
        <v>42000</v>
      </c>
      <c r="I2" s="0" t="str">
        <f aca="false">IF(E2&lt;=F2,"REORDER","OK")</f>
        <v>OK</v>
      </c>
    </row>
    <row r="3" customFormat="false" ht="15" hidden="false" customHeight="false" outlineLevel="0" collapsed="false">
      <c r="A3" s="0" t="n">
        <v>2</v>
      </c>
      <c r="B3" s="0" t="s">
        <v>133</v>
      </c>
      <c r="C3" s="0" t="s">
        <v>58</v>
      </c>
      <c r="D3" s="0" t="s">
        <v>132</v>
      </c>
      <c r="E3" s="0" t="n">
        <v>45</v>
      </c>
      <c r="F3" s="0" t="n">
        <v>15</v>
      </c>
      <c r="G3" s="8" t="n">
        <v>1800</v>
      </c>
      <c r="H3" s="8" t="n">
        <f aca="false">E3*G3</f>
        <v>81000</v>
      </c>
      <c r="I3" s="0" t="str">
        <f aca="false">IF(E3&lt;=F3,"REORDER","OK")</f>
        <v>OK</v>
      </c>
    </row>
    <row r="4" customFormat="false" ht="15" hidden="false" customHeight="false" outlineLevel="0" collapsed="false">
      <c r="A4" s="0" t="n">
        <v>3</v>
      </c>
      <c r="B4" s="0" t="s">
        <v>134</v>
      </c>
      <c r="C4" s="0" t="s">
        <v>30</v>
      </c>
      <c r="D4" s="0" t="s">
        <v>135</v>
      </c>
      <c r="E4" s="0" t="n">
        <v>60</v>
      </c>
      <c r="F4" s="0" t="n">
        <v>20</v>
      </c>
      <c r="G4" s="8" t="n">
        <v>900</v>
      </c>
      <c r="H4" s="8" t="n">
        <f aca="false">E4*G4</f>
        <v>54000</v>
      </c>
      <c r="I4" s="0" t="str">
        <f aca="false">IF(E4&lt;=F4,"REORDER","OK")</f>
        <v>OK</v>
      </c>
    </row>
    <row r="5" customFormat="false" ht="15" hidden="false" customHeight="false" outlineLevel="0" collapsed="false">
      <c r="A5" s="0" t="n">
        <v>4</v>
      </c>
      <c r="B5" s="0" t="s">
        <v>136</v>
      </c>
      <c r="C5" s="0" t="s">
        <v>48</v>
      </c>
      <c r="D5" s="0" t="s">
        <v>135</v>
      </c>
      <c r="E5" s="0" t="n">
        <v>18</v>
      </c>
      <c r="F5" s="0" t="n">
        <v>10</v>
      </c>
      <c r="G5" s="8" t="n">
        <v>9500</v>
      </c>
      <c r="H5" s="8" t="n">
        <f aca="false">E5*G5</f>
        <v>171000</v>
      </c>
      <c r="I5" s="0" t="str">
        <f aca="false">IF(E5&lt;=F5,"REORDER","OK")</f>
        <v>OK</v>
      </c>
    </row>
    <row r="6" customFormat="false" ht="15" hidden="false" customHeight="false" outlineLevel="0" collapsed="false">
      <c r="A6" s="0" t="n">
        <v>5</v>
      </c>
      <c r="B6" s="0" t="s">
        <v>137</v>
      </c>
      <c r="C6" s="0" t="s">
        <v>23</v>
      </c>
      <c r="D6" s="0" t="s">
        <v>135</v>
      </c>
      <c r="E6" s="0" t="n">
        <v>8</v>
      </c>
      <c r="F6" s="0" t="n">
        <v>15</v>
      </c>
      <c r="G6" s="8" t="n">
        <v>600</v>
      </c>
      <c r="H6" s="8" t="n">
        <f aca="false">E6*G6</f>
        <v>4800</v>
      </c>
      <c r="I6" s="0" t="str">
        <f aca="false">IF(E6&lt;=F6,"REORDER","OK")</f>
        <v>REORDER</v>
      </c>
    </row>
    <row r="7" customFormat="false" ht="15" hidden="false" customHeight="false" outlineLevel="0" collapsed="false">
      <c r="A7" s="0" t="n">
        <v>6</v>
      </c>
      <c r="B7" s="0" t="s">
        <v>138</v>
      </c>
      <c r="C7" s="0" t="s">
        <v>21</v>
      </c>
      <c r="D7" s="0" t="s">
        <v>132</v>
      </c>
      <c r="E7" s="0" t="n">
        <v>25</v>
      </c>
      <c r="F7" s="0" t="n">
        <v>10</v>
      </c>
      <c r="G7" s="8" t="n">
        <v>1200</v>
      </c>
      <c r="H7" s="8" t="n">
        <f aca="false">E7*G7</f>
        <v>30000</v>
      </c>
      <c r="I7" s="0" t="str">
        <f aca="false">IF(E7&lt;=F7,"REORDER","OK")</f>
        <v>OK</v>
      </c>
    </row>
    <row r="8" customFormat="false" ht="15" hidden="false" customHeight="false" outlineLevel="0" collapsed="false">
      <c r="A8" s="0" t="n">
        <v>7</v>
      </c>
      <c r="B8" s="0" t="s">
        <v>139</v>
      </c>
      <c r="C8" s="0" t="s">
        <v>66</v>
      </c>
      <c r="D8" s="0" t="s">
        <v>140</v>
      </c>
      <c r="E8" s="0" t="n">
        <v>12</v>
      </c>
      <c r="F8" s="0" t="n">
        <v>8</v>
      </c>
      <c r="G8" s="8" t="n">
        <v>5200</v>
      </c>
      <c r="H8" s="8" t="n">
        <f aca="false">E8*G8</f>
        <v>62400</v>
      </c>
      <c r="I8" s="0" t="str">
        <f aca="false">IF(E8&lt;=F8,"REORDER","OK")</f>
        <v>OK</v>
      </c>
    </row>
    <row r="9" customFormat="false" ht="15" hidden="false" customHeight="false" outlineLevel="0" collapsed="false">
      <c r="A9" s="0" t="n">
        <v>8</v>
      </c>
      <c r="B9" s="0" t="s">
        <v>141</v>
      </c>
      <c r="C9" s="0" t="s">
        <v>45</v>
      </c>
      <c r="D9" s="0" t="s">
        <v>140</v>
      </c>
      <c r="E9" s="0" t="n">
        <v>6</v>
      </c>
      <c r="F9" s="0" t="n">
        <v>8</v>
      </c>
      <c r="G9" s="8" t="n">
        <v>6500</v>
      </c>
      <c r="H9" s="8" t="n">
        <f aca="false">E9*G9</f>
        <v>39000</v>
      </c>
      <c r="I9" s="0" t="str">
        <f aca="false">IF(E9&lt;=F9,"REORDER","OK")</f>
        <v>REORDER</v>
      </c>
    </row>
    <row r="10" customFormat="false" ht="15" hidden="false" customHeight="false" outlineLevel="0" collapsed="false">
      <c r="A10" s="0" t="n">
        <v>9</v>
      </c>
      <c r="B10" s="0" t="s">
        <v>142</v>
      </c>
      <c r="C10" s="0" t="s">
        <v>31</v>
      </c>
      <c r="D10" s="0" t="s">
        <v>140</v>
      </c>
      <c r="E10" s="0" t="n">
        <v>14</v>
      </c>
      <c r="F10" s="0" t="n">
        <v>5</v>
      </c>
      <c r="G10" s="8" t="n">
        <v>3800</v>
      </c>
      <c r="H10" s="8" t="n">
        <f aca="false">E10*G10</f>
        <v>53200</v>
      </c>
      <c r="I10" s="0" t="str">
        <f aca="false">IF(E10&lt;=F10,"REORDER","OK")</f>
        <v>OK</v>
      </c>
    </row>
    <row r="11" customFormat="false" ht="15" hidden="false" customHeight="false" outlineLevel="0" collapsed="false">
      <c r="A11" s="0" t="n">
        <v>10</v>
      </c>
      <c r="B11" s="0" t="s">
        <v>143</v>
      </c>
      <c r="C11" s="0" t="s">
        <v>44</v>
      </c>
      <c r="D11" s="0" t="s">
        <v>140</v>
      </c>
      <c r="E11" s="0" t="n">
        <v>22</v>
      </c>
      <c r="F11" s="0" t="n">
        <v>10</v>
      </c>
      <c r="G11" s="8" t="n">
        <v>1500</v>
      </c>
      <c r="H11" s="8" t="n">
        <f aca="false">E11*G11</f>
        <v>33000</v>
      </c>
      <c r="I11" s="0" t="str">
        <f aca="false">IF(E11&lt;=F11,"REORDER","OK")</f>
        <v>OK</v>
      </c>
    </row>
    <row r="12" customFormat="false" ht="15" hidden="false" customHeight="false" outlineLevel="0" collapsed="false">
      <c r="A12" s="0" t="n">
        <v>11</v>
      </c>
      <c r="B12" s="0" t="s">
        <v>144</v>
      </c>
      <c r="C12" s="0" t="s">
        <v>60</v>
      </c>
      <c r="D12" s="0" t="s">
        <v>145</v>
      </c>
      <c r="E12" s="0" t="n">
        <v>400</v>
      </c>
      <c r="F12" s="0" t="n">
        <v>100</v>
      </c>
      <c r="G12" s="8" t="n">
        <v>210</v>
      </c>
      <c r="H12" s="8" t="n">
        <f aca="false">E12*G12</f>
        <v>84000</v>
      </c>
      <c r="I12" s="0" t="str">
        <f aca="false">IF(E12&lt;=F12,"REORDER","OK")</f>
        <v>OK</v>
      </c>
    </row>
    <row r="13" customFormat="false" ht="15" hidden="false" customHeight="false" outlineLevel="0" collapsed="false">
      <c r="A13" s="0" t="n">
        <v>12</v>
      </c>
      <c r="B13" s="0" t="s">
        <v>146</v>
      </c>
      <c r="C13" s="0" t="s">
        <v>38</v>
      </c>
      <c r="D13" s="0" t="s">
        <v>147</v>
      </c>
      <c r="E13" s="0" t="n">
        <v>150</v>
      </c>
      <c r="F13" s="0" t="n">
        <v>40</v>
      </c>
      <c r="G13" s="8" t="n">
        <v>150</v>
      </c>
      <c r="H13" s="8" t="n">
        <f aca="false">E13*G13</f>
        <v>22500</v>
      </c>
      <c r="I13" s="0" t="str">
        <f aca="false">IF(E13&lt;=F13,"REORDER","OK")</f>
        <v>OK</v>
      </c>
    </row>
    <row r="14" customFormat="false" ht="15" hidden="false" customHeight="false" outlineLevel="0" collapsed="false">
      <c r="A14" s="0" t="n">
        <v>13</v>
      </c>
      <c r="B14" s="0" t="s">
        <v>148</v>
      </c>
      <c r="C14" s="0" t="s">
        <v>62</v>
      </c>
      <c r="D14" s="0" t="s">
        <v>147</v>
      </c>
      <c r="E14" s="0" t="n">
        <v>90</v>
      </c>
      <c r="F14" s="0" t="n">
        <v>30</v>
      </c>
      <c r="G14" s="8" t="n">
        <v>180</v>
      </c>
      <c r="H14" s="8" t="n">
        <f aca="false">E14*G14</f>
        <v>16200</v>
      </c>
      <c r="I14" s="0" t="str">
        <f aca="false">IF(E14&lt;=F14,"REORDER","OK")</f>
        <v>OK</v>
      </c>
    </row>
    <row r="15" customFormat="false" ht="15" hidden="false" customHeight="false" outlineLevel="0" collapsed="false">
      <c r="A15" s="0" t="n">
        <v>14</v>
      </c>
      <c r="B15" s="0" t="s">
        <v>149</v>
      </c>
      <c r="C15" s="0" t="s">
        <v>57</v>
      </c>
      <c r="D15" s="0" t="s">
        <v>145</v>
      </c>
      <c r="E15" s="0" t="n">
        <v>7</v>
      </c>
      <c r="F15" s="0" t="n">
        <v>20</v>
      </c>
      <c r="G15" s="8" t="n">
        <v>120</v>
      </c>
      <c r="H15" s="8" t="n">
        <f aca="false">E15*G15</f>
        <v>840</v>
      </c>
      <c r="I15" s="0" t="str">
        <f aca="false">IF(E15&lt;=F15,"REORDER","OK")</f>
        <v>REORDER</v>
      </c>
    </row>
    <row r="16" customFormat="false" ht="15" hidden="false" customHeight="false" outlineLevel="0" collapsed="false">
      <c r="A16" s="0" t="n">
        <v>15</v>
      </c>
      <c r="B16" s="0" t="s">
        <v>150</v>
      </c>
      <c r="C16" s="0" t="s">
        <v>42</v>
      </c>
      <c r="D16" s="0" t="s">
        <v>147</v>
      </c>
      <c r="E16" s="0" t="n">
        <v>65</v>
      </c>
      <c r="F16" s="0" t="n">
        <v>25</v>
      </c>
      <c r="G16" s="8" t="n">
        <v>140</v>
      </c>
      <c r="H16" s="8" t="n">
        <f aca="false">E16*G16</f>
        <v>9100</v>
      </c>
      <c r="I16" s="0" t="str">
        <f aca="false">IF(E16&lt;=F16,"REORDER","OK")</f>
        <v>OK</v>
      </c>
    </row>
    <row r="17" customFormat="false" ht="15" hidden="false" customHeight="false" outlineLevel="0" collapsed="false">
      <c r="A17" s="0" t="n">
        <v>16</v>
      </c>
      <c r="B17" s="0" t="s">
        <v>151</v>
      </c>
      <c r="C17" s="0" t="s">
        <v>37</v>
      </c>
      <c r="D17" s="0" t="s">
        <v>152</v>
      </c>
      <c r="E17" s="0" t="n">
        <v>16</v>
      </c>
      <c r="F17" s="0" t="n">
        <v>12</v>
      </c>
      <c r="G17" s="8" t="n">
        <v>2400</v>
      </c>
      <c r="H17" s="8" t="n">
        <f aca="false">E17*G17</f>
        <v>38400</v>
      </c>
      <c r="I17" s="0" t="str">
        <f aca="false">IF(E17&lt;=F17,"REORDER","OK")</f>
        <v>OK</v>
      </c>
    </row>
    <row r="18" customFormat="false" ht="15" hidden="false" customHeight="false" outlineLevel="0" collapsed="false">
      <c r="A18" s="0" t="n">
        <v>17</v>
      </c>
      <c r="B18" s="0" t="s">
        <v>153</v>
      </c>
      <c r="C18" s="0" t="s">
        <v>33</v>
      </c>
      <c r="D18" s="0" t="s">
        <v>152</v>
      </c>
      <c r="E18" s="0" t="n">
        <v>9</v>
      </c>
      <c r="F18" s="0" t="n">
        <v>15</v>
      </c>
      <c r="G18" s="8" t="n">
        <v>700</v>
      </c>
      <c r="H18" s="8" t="n">
        <f aca="false">E18*G18</f>
        <v>6300</v>
      </c>
      <c r="I18" s="0" t="str">
        <f aca="false">IF(E18&lt;=F18,"REORDER","OK")</f>
        <v>REORDER</v>
      </c>
    </row>
    <row r="19" customFormat="false" ht="15" hidden="false" customHeight="false" outlineLevel="0" collapsed="false">
      <c r="A19" s="0" t="n">
        <v>18</v>
      </c>
      <c r="B19" s="0" t="s">
        <v>154</v>
      </c>
      <c r="C19" s="0" t="s">
        <v>47</v>
      </c>
      <c r="D19" s="0" t="s">
        <v>152</v>
      </c>
      <c r="E19" s="0" t="n">
        <v>55</v>
      </c>
      <c r="F19" s="0" t="n">
        <v>20</v>
      </c>
      <c r="G19" s="8" t="n">
        <v>320</v>
      </c>
      <c r="H19" s="8" t="n">
        <f aca="false">E19*G19</f>
        <v>17600</v>
      </c>
      <c r="I19" s="0" t="str">
        <f aca="false">IF(E19&lt;=F19,"REORDER","OK")</f>
        <v>OK</v>
      </c>
    </row>
    <row r="20" customFormat="false" ht="15" hidden="false" customHeight="false" outlineLevel="0" collapsed="false">
      <c r="A20" s="0" t="n">
        <v>19</v>
      </c>
      <c r="B20" s="0" t="s">
        <v>155</v>
      </c>
      <c r="C20" s="0" t="s">
        <v>53</v>
      </c>
      <c r="D20" s="0" t="s">
        <v>135</v>
      </c>
      <c r="E20" s="0" t="n">
        <v>30</v>
      </c>
      <c r="F20" s="0" t="n">
        <v>10</v>
      </c>
      <c r="G20" s="8" t="n">
        <v>5200</v>
      </c>
      <c r="H20" s="8" t="n">
        <f aca="false">E20*G20</f>
        <v>156000</v>
      </c>
      <c r="I20" s="0" t="str">
        <f aca="false">IF(E20&lt;=F20,"REORDER","OK")</f>
        <v>OK</v>
      </c>
    </row>
    <row r="21" customFormat="false" ht="15" hidden="false" customHeight="false" outlineLevel="0" collapsed="false">
      <c r="A21" s="0" t="n">
        <v>20</v>
      </c>
      <c r="B21" s="0" t="s">
        <v>156</v>
      </c>
      <c r="C21" s="0" t="s">
        <v>40</v>
      </c>
      <c r="D21" s="0" t="s">
        <v>132</v>
      </c>
      <c r="E21" s="0" t="n">
        <v>48</v>
      </c>
      <c r="F21" s="0" t="n">
        <v>15</v>
      </c>
      <c r="G21" s="8" t="n">
        <v>450</v>
      </c>
      <c r="H21" s="8" t="n">
        <f aca="false">E21*G21</f>
        <v>21600</v>
      </c>
      <c r="I21" s="0" t="str">
        <f aca="false">IF(E21&lt;=F21,"REORDER","OK")</f>
        <v>OK</v>
      </c>
    </row>
  </sheetData>
  <conditionalFormatting sqref="I2:I21">
    <cfRule type="cellIs" priority="2" operator="equal" aboveAverage="0" equalAverage="0" bottom="0" percent="0" rank="0" text="" dxfId="0">
      <formula>"REORDER"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13</v>
      </c>
      <c r="B1" s="7" t="s">
        <v>2</v>
      </c>
      <c r="C1" s="7" t="s">
        <v>157</v>
      </c>
    </row>
    <row r="2" customFormat="false" ht="15" hidden="false" customHeight="false" outlineLevel="0" collapsed="false">
      <c r="A2" s="0" t="s">
        <v>48</v>
      </c>
      <c r="B2" s="0" t="n">
        <f aca="false">SUMIFS(Sales_Detail!$G$2:$G$150,Sales_Detail!$E$2:$E$150,A2)</f>
        <v>64</v>
      </c>
      <c r="C2" s="9" t="n">
        <f aca="false">SUMIFS(Sales_Detail!$I$2:$I$150,Sales_Detail!$E$2:$E$150,A2)</f>
        <v>895936</v>
      </c>
    </row>
    <row r="3" customFormat="false" ht="15" hidden="false" customHeight="false" outlineLevel="0" collapsed="false">
      <c r="A3" s="0" t="s">
        <v>53</v>
      </c>
      <c r="B3" s="0" t="n">
        <f aca="false">SUMIFS(Sales_Detail!$G$2:$G$150,Sales_Detail!$E$2:$E$150,A3)</f>
        <v>55</v>
      </c>
      <c r="C3" s="9" t="n">
        <f aca="false">SUMIFS(Sales_Detail!$I$2:$I$150,Sales_Detail!$E$2:$E$150,A3)</f>
        <v>412445</v>
      </c>
    </row>
    <row r="4" customFormat="false" ht="15" hidden="false" customHeight="false" outlineLevel="0" collapsed="false">
      <c r="A4" s="0" t="s">
        <v>45</v>
      </c>
      <c r="B4" s="0" t="n">
        <f aca="false">SUMIFS(Sales_Detail!$G$2:$G$150,Sales_Detail!$E$2:$E$150,A4)</f>
        <v>23</v>
      </c>
      <c r="C4" s="9" t="n">
        <f aca="false">SUMIFS(Sales_Detail!$I$2:$I$150,Sales_Detail!$E$2:$E$150,A4)</f>
        <v>218477</v>
      </c>
    </row>
    <row r="5" customFormat="false" ht="15" hidden="false" customHeight="false" outlineLevel="0" collapsed="false">
      <c r="A5" s="0" t="s">
        <v>58</v>
      </c>
      <c r="B5" s="0" t="n">
        <f aca="false">SUMIFS(Sales_Detail!$G$2:$G$150,Sales_Detail!$E$2:$E$150,A5)</f>
        <v>57</v>
      </c>
      <c r="C5" s="9" t="n">
        <f aca="false">SUMIFS(Sales_Detail!$I$2:$I$150,Sales_Detail!$E$2:$E$150,A5)</f>
        <v>159543</v>
      </c>
    </row>
    <row r="6" customFormat="false" ht="15" hidden="false" customHeight="false" outlineLevel="0" collapsed="false">
      <c r="A6" s="0" t="s">
        <v>37</v>
      </c>
      <c r="B6" s="0" t="n">
        <f aca="false">SUMIFS(Sales_Detail!$G$2:$G$150,Sales_Detail!$E$2:$E$150,A6)</f>
        <v>41</v>
      </c>
      <c r="C6" s="9" t="n">
        <f aca="false">SUMIFS(Sales_Detail!$I$2:$I$150,Sales_Detail!$E$2:$E$150,A6)</f>
        <v>143459</v>
      </c>
    </row>
    <row r="7" customFormat="false" ht="15" hidden="false" customHeight="false" outlineLevel="0" collapsed="false">
      <c r="A7" s="0" t="s">
        <v>21</v>
      </c>
      <c r="B7" s="0" t="n">
        <f aca="false">SUMIFS(Sales_Detail!$G$2:$G$150,Sales_Detail!$E$2:$E$150,A7)</f>
        <v>57</v>
      </c>
      <c r="C7" s="9" t="n">
        <f aca="false">SUMIFS(Sales_Detail!$I$2:$I$150,Sales_Detail!$E$2:$E$150,A7)</f>
        <v>108243</v>
      </c>
    </row>
    <row r="8" customFormat="false" ht="15" hidden="false" customHeight="false" outlineLevel="0" collapsed="false">
      <c r="A8" s="0" t="s">
        <v>66</v>
      </c>
      <c r="B8" s="0" t="n">
        <f aca="false">SUMIFS(Sales_Detail!$G$2:$G$150,Sales_Detail!$E$2:$E$150,A8)</f>
        <v>10</v>
      </c>
      <c r="C8" s="9" t="n">
        <f aca="false">SUMIFS(Sales_Detail!$I$2:$I$150,Sales_Detail!$E$2:$E$150,A8)</f>
        <v>79990</v>
      </c>
    </row>
    <row r="9" customFormat="false" ht="15" hidden="false" customHeight="false" outlineLevel="0" collapsed="false">
      <c r="A9" s="0" t="s">
        <v>23</v>
      </c>
      <c r="B9" s="0" t="n">
        <f aca="false">SUMIFS(Sales_Detail!$G$2:$G$150,Sales_Detail!$E$2:$E$150,A9)</f>
        <v>75</v>
      </c>
      <c r="C9" s="9" t="n">
        <f aca="false">SUMIFS(Sales_Detail!$I$2:$I$150,Sales_Detail!$E$2:$E$150,A9)</f>
        <v>74925</v>
      </c>
    </row>
    <row r="10" customFormat="false" ht="15" hidden="false" customHeight="false" outlineLevel="0" collapsed="false">
      <c r="A10" s="0" t="s">
        <v>31</v>
      </c>
      <c r="B10" s="0" t="n">
        <f aca="false">SUMIFS(Sales_Detail!$G$2:$G$150,Sales_Detail!$E$2:$E$150,A10)</f>
        <v>13</v>
      </c>
      <c r="C10" s="9" t="n">
        <f aca="false">SUMIFS(Sales_Detail!$I$2:$I$150,Sales_Detail!$E$2:$E$150,A10)</f>
        <v>71487</v>
      </c>
    </row>
    <row r="11" customFormat="false" ht="15" hidden="false" customHeight="false" outlineLevel="0" collapsed="false">
      <c r="A11" s="0" t="s">
        <v>33</v>
      </c>
      <c r="B11" s="0" t="n">
        <f aca="false">SUMIFS(Sales_Detail!$G$2:$G$150,Sales_Detail!$E$2:$E$150,A11)</f>
        <v>65</v>
      </c>
      <c r="C11" s="9" t="n">
        <f aca="false">SUMIFS(Sales_Detail!$I$2:$I$150,Sales_Detail!$E$2:$E$150,A11)</f>
        <v>71435</v>
      </c>
    </row>
    <row r="12" customFormat="false" ht="15" hidden="false" customHeight="false" outlineLevel="0" collapsed="false">
      <c r="A12" s="0" t="s">
        <v>30</v>
      </c>
      <c r="B12" s="0" t="n">
        <f aca="false">SUMIFS(Sales_Detail!$G$2:$G$150,Sales_Detail!$E$2:$E$150,A12)</f>
        <v>47</v>
      </c>
      <c r="C12" s="9" t="n">
        <f aca="false">SUMIFS(Sales_Detail!$I$2:$I$150,Sales_Detail!$E$2:$E$150,A12)</f>
        <v>70453</v>
      </c>
    </row>
    <row r="13" customFormat="false" ht="15" hidden="false" customHeight="false" outlineLevel="0" collapsed="false">
      <c r="A13" s="0" t="s">
        <v>47</v>
      </c>
      <c r="B13" s="0" t="n">
        <f aca="false">SUMIFS(Sales_Detail!$G$2:$G$150,Sales_Detail!$E$2:$E$150,A13)</f>
        <v>56</v>
      </c>
      <c r="C13" s="9" t="n">
        <f aca="false">SUMIFS(Sales_Detail!$I$2:$I$150,Sales_Detail!$E$2:$E$150,A13)</f>
        <v>27944</v>
      </c>
    </row>
    <row r="14" customFormat="false" ht="15" hidden="false" customHeight="false" outlineLevel="0" collapsed="false">
      <c r="A14" s="0" t="s">
        <v>60</v>
      </c>
      <c r="B14" s="0" t="n">
        <f aca="false">SUMIFS(Sales_Detail!$G$2:$G$150,Sales_Detail!$E$2:$E$150,A14)</f>
        <v>58</v>
      </c>
      <c r="C14" s="9" t="n">
        <f aca="false">SUMIFS(Sales_Detail!$I$2:$I$150,Sales_Detail!$E$2:$E$150,A14)</f>
        <v>18560</v>
      </c>
    </row>
    <row r="15" customFormat="false" ht="15" hidden="false" customHeight="false" outlineLevel="0" collapsed="false">
      <c r="A15" s="0" t="s">
        <v>44</v>
      </c>
      <c r="B15" s="0" t="n">
        <f aca="false">SUMIFS(Sales_Detail!$G$2:$G$150,Sales_Detail!$E$2:$E$150,A15)</f>
        <v>7</v>
      </c>
      <c r="C15" s="9" t="n">
        <f aca="false">SUMIFS(Sales_Detail!$I$2:$I$150,Sales_Detail!$E$2:$E$150,A15)</f>
        <v>16793</v>
      </c>
    </row>
    <row r="16" customFormat="false" ht="15" hidden="false" customHeight="false" outlineLevel="0" collapsed="false">
      <c r="A16" s="0" t="s">
        <v>40</v>
      </c>
      <c r="B16" s="0" t="n">
        <f aca="false">SUMIFS(Sales_Detail!$G$2:$G$150,Sales_Detail!$E$2:$E$150,A16)</f>
        <v>22</v>
      </c>
      <c r="C16" s="9" t="n">
        <f aca="false">SUMIFS(Sales_Detail!$I$2:$I$150,Sales_Detail!$E$2:$E$150,A16)</f>
        <v>16478</v>
      </c>
    </row>
    <row r="17" customFormat="false" ht="15" hidden="false" customHeight="false" outlineLevel="0" collapsed="false">
      <c r="A17" s="0" t="s">
        <v>42</v>
      </c>
      <c r="B17" s="0" t="n">
        <f aca="false">SUMIFS(Sales_Detail!$G$2:$G$150,Sales_Detail!$E$2:$E$150,A17)</f>
        <v>70</v>
      </c>
      <c r="C17" s="9" t="n">
        <f aca="false">SUMIFS(Sales_Detail!$I$2:$I$150,Sales_Detail!$E$2:$E$150,A17)</f>
        <v>16030</v>
      </c>
    </row>
    <row r="18" customFormat="false" ht="15" hidden="false" customHeight="false" outlineLevel="0" collapsed="false">
      <c r="A18" s="0" t="s">
        <v>62</v>
      </c>
      <c r="B18" s="0" t="n">
        <f aca="false">SUMIFS(Sales_Detail!$G$2:$G$150,Sales_Detail!$E$2:$E$150,A18)</f>
        <v>37</v>
      </c>
      <c r="C18" s="9" t="n">
        <f aca="false">SUMIFS(Sales_Detail!$I$2:$I$150,Sales_Detail!$E$2:$E$150,A18)</f>
        <v>11063</v>
      </c>
    </row>
    <row r="19" customFormat="false" ht="15" hidden="false" customHeight="false" outlineLevel="0" collapsed="false">
      <c r="A19" s="0" t="s">
        <v>27</v>
      </c>
      <c r="B19" s="0" t="n">
        <f aca="false">SUMIFS(Sales_Detail!$G$2:$G$150,Sales_Detail!$E$2:$E$150,A19)</f>
        <v>18</v>
      </c>
      <c r="C19" s="9" t="n">
        <f aca="false">SUMIFS(Sales_Detail!$I$2:$I$150,Sales_Detail!$E$2:$E$150,A19)</f>
        <v>10782</v>
      </c>
    </row>
    <row r="20" customFormat="false" ht="15" hidden="false" customHeight="false" outlineLevel="0" collapsed="false">
      <c r="A20" s="0" t="s">
        <v>38</v>
      </c>
      <c r="B20" s="0" t="n">
        <f aca="false">SUMIFS(Sales_Detail!$G$2:$G$150,Sales_Detail!$E$2:$E$150,A20)</f>
        <v>38</v>
      </c>
      <c r="C20" s="9" t="n">
        <f aca="false">SUMIFS(Sales_Detail!$I$2:$I$150,Sales_Detail!$E$2:$E$150,A20)</f>
        <v>9462</v>
      </c>
    </row>
    <row r="21" customFormat="false" ht="15" hidden="false" customHeight="false" outlineLevel="0" collapsed="false">
      <c r="A21" s="0" t="s">
        <v>57</v>
      </c>
      <c r="B21" s="0" t="n">
        <f aca="false">SUMIFS(Sales_Detail!$G$2:$G$150,Sales_Detail!$E$2:$E$150,A21)</f>
        <v>43</v>
      </c>
      <c r="C21" s="9" t="n">
        <f aca="false">SUMIFS(Sales_Detail!$I$2:$I$150,Sales_Detail!$E$2:$E$150,A21)</f>
        <v>8557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11</v>
      </c>
      <c r="B1" s="7" t="s">
        <v>157</v>
      </c>
    </row>
    <row r="2" customFormat="false" ht="15" hidden="false" customHeight="false" outlineLevel="0" collapsed="false">
      <c r="A2" s="0" t="s">
        <v>19</v>
      </c>
      <c r="B2" s="9" t="n">
        <f aca="false">SUMIFS(Sales_Detail!$I$2:$I$150,Sales_Detail!$C$2:$C$150,A2)</f>
        <v>297484</v>
      </c>
    </row>
    <row r="3" customFormat="false" ht="15" hidden="false" customHeight="false" outlineLevel="0" collapsed="false">
      <c r="A3" s="0" t="s">
        <v>50</v>
      </c>
      <c r="B3" s="9" t="n">
        <f aca="false">SUMIFS(Sales_Detail!$I$2:$I$150,Sales_Detail!$C$2:$C$150,A3)</f>
        <v>352750</v>
      </c>
    </row>
    <row r="4" customFormat="false" ht="15" hidden="false" customHeight="false" outlineLevel="0" collapsed="false">
      <c r="A4" s="0" t="s">
        <v>71</v>
      </c>
      <c r="B4" s="9" t="n">
        <f aca="false">SUMIFS(Sales_Detail!$I$2:$I$150,Sales_Detail!$C$2:$C$150,A4)</f>
        <v>289846</v>
      </c>
    </row>
    <row r="5" customFormat="false" ht="15" hidden="false" customHeight="false" outlineLevel="0" collapsed="false">
      <c r="A5" s="0" t="s">
        <v>80</v>
      </c>
      <c r="B5" s="9" t="n">
        <f aca="false">SUMIFS(Sales_Detail!$I$2:$I$150,Sales_Detail!$C$2:$C$150,A5)</f>
        <v>211728</v>
      </c>
    </row>
    <row r="6" customFormat="false" ht="15" hidden="false" customHeight="false" outlineLevel="0" collapsed="false">
      <c r="A6" s="0" t="s">
        <v>91</v>
      </c>
      <c r="B6" s="9" t="n">
        <f aca="false">SUMIFS(Sales_Detail!$I$2:$I$150,Sales_Detail!$C$2:$C$150,A6)</f>
        <v>511344</v>
      </c>
    </row>
    <row r="7" customFormat="false" ht="15" hidden="false" customHeight="false" outlineLevel="0" collapsed="false">
      <c r="A7" s="0" t="s">
        <v>101</v>
      </c>
      <c r="B7" s="9" t="n">
        <f aca="false">SUMIFS(Sales_Detail!$I$2:$I$150,Sales_Detail!$C$2:$C$150,A7)</f>
        <v>15584</v>
      </c>
    </row>
    <row r="8" customFormat="false" ht="15" hidden="false" customHeight="false" outlineLevel="0" collapsed="false">
      <c r="A8" s="0" t="s">
        <v>104</v>
      </c>
      <c r="B8" s="9" t="n">
        <f aca="false">SUMIFS(Sales_Detail!$I$2:$I$150,Sales_Detail!$C$2:$C$150,A8)</f>
        <v>133439</v>
      </c>
    </row>
    <row r="9" customFormat="false" ht="15" hidden="false" customHeight="false" outlineLevel="0" collapsed="false">
      <c r="A9" s="0" t="s">
        <v>110</v>
      </c>
      <c r="B9" s="9" t="n">
        <f aca="false">SUMIFS(Sales_Detail!$I$2:$I$150,Sales_Detail!$C$2:$C$150,A9)</f>
        <v>147173</v>
      </c>
    </row>
    <row r="10" customFormat="false" ht="15" hidden="false" customHeight="false" outlineLevel="0" collapsed="false">
      <c r="A10" s="0" t="s">
        <v>117</v>
      </c>
      <c r="B10" s="9" t="n">
        <f aca="false">SUMIFS(Sales_Detail!$I$2:$I$150,Sales_Detail!$C$2:$C$150,A10)</f>
        <v>482714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2026-10-01T10:37:38Z</dcterms:created>
  <dc:creator>openpyxl</dc:creator>
  <dc:description/>
  <dc:language>en-US</dc:language>
  <cp:lastModifiedBy/>
  <dcterms:modified xsi:type="dcterms:W3CDTF">2026-10-01T16:07:41Z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